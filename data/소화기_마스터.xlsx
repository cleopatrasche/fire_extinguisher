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68"/>
  <workbookPr/>
  <mc:AlternateContent xmlns:mc="http://schemas.openxmlformats.org/markup-compatibility/2006">
    <mc:Choice Requires="x15">
      <x15ac:absPath xmlns:x15ac="http://schemas.microsoft.com/office/spreadsheetml/2010/11/ac" url="D:\Git_go\Nirmata_Y26_\260714_fire_extinguisher\fire_extinguisher\data\"/>
    </mc:Choice>
  </mc:AlternateContent>
  <xr:revisionPtr revIDLastSave="0" documentId="13_ncr:1_{E95FADF0-FA2E-4DE7-B95E-45563C379D34}" xr6:coauthVersionLast="36" xr6:coauthVersionMax="36" xr10:uidLastSave="{00000000-0000-0000-0000-000000000000}"/>
  <bookViews>
    <workbookView xWindow="0" yWindow="0" windowWidth="16380" windowHeight="8190" tabRatio="500" firstSheet="1" activeTab="7" xr2:uid="{00000000-000D-0000-FFFF-FFFF00000000}"/>
  </bookViews>
  <sheets>
    <sheet name="_사용안내" sheetId="1" r:id="rId1"/>
    <sheet name="주사제팀" sheetId="2" r:id="rId2"/>
    <sheet name="바이오원제팀" sheetId="3" r:id="rId3"/>
    <sheet name="백신HA원제팀" sheetId="9" r:id="rId4"/>
    <sheet name="부스틴팀" sheetId="4" r:id="rId5"/>
    <sheet name="생산지원팀" sheetId="10" r:id="rId6"/>
    <sheet name="공무팀" sheetId="8" r:id="rId7"/>
    <sheet name="환경안전팀" sheetId="5" r:id="rId8"/>
    <sheet name="사무동" sheetId="6" r:id="rId9"/>
    <sheet name="식당동" sheetId="7" r:id="rId10"/>
  </sheets>
  <definedNames>
    <definedName name="_xlnm._FilterDatabase" localSheetId="6" hidden="1">공무팀!$A$1:$E$13</definedName>
    <definedName name="_xlnm._FilterDatabase" localSheetId="2" hidden="1">바이오원제팀!$A$1:$E$19</definedName>
    <definedName name="_xlnm._FilterDatabase" localSheetId="3" hidden="1">백신HA원제팀!$A$1:$E$18</definedName>
    <definedName name="_xlnm._FilterDatabase" localSheetId="4" hidden="1">부스틴팀!$A$1:$E$16</definedName>
    <definedName name="_xlnm._FilterDatabase" localSheetId="8" hidden="1">사무동!$A$1:$E$13</definedName>
    <definedName name="_xlnm._FilterDatabase" localSheetId="5" hidden="1">생산지원팀!$A$1:$E$11</definedName>
    <definedName name="_xlnm._FilterDatabase" localSheetId="9" hidden="1">식당동!$A$1:$E$11</definedName>
    <definedName name="_xlnm._FilterDatabase" localSheetId="1" hidden="1">주사제팀!$A$1:$E$21</definedName>
    <definedName name="_xlnm._FilterDatabase" localSheetId="7" hidden="1">환경안전팀!$A$1:$E$18</definedName>
  </definedName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1" i="1" l="1"/>
  <c r="C20" i="1"/>
  <c r="C19" i="1"/>
  <c r="C18" i="1"/>
  <c r="C17" i="1"/>
  <c r="C16" i="1"/>
  <c r="C22" i="1" l="1"/>
</calcChain>
</file>

<file path=xl/sharedStrings.xml><?xml version="1.0" encoding="utf-8"?>
<sst xmlns="http://schemas.openxmlformats.org/spreadsheetml/2006/main" count="495" uniqueCount="268">
  <si>
    <r>
      <rPr>
        <b/>
        <sz val="14"/>
        <color rgb="FF1F4E5F"/>
        <rFont val="Noto Sans CJK SC"/>
        <family val="2"/>
      </rPr>
      <t xml:space="preserve">소화기 점검 관리 </t>
    </r>
    <r>
      <rPr>
        <b/>
        <sz val="14"/>
        <color rgb="FF1F4E5F"/>
        <rFont val="Arial"/>
        <family val="2"/>
      </rPr>
      <t xml:space="preserve">- </t>
    </r>
    <r>
      <rPr>
        <b/>
        <sz val="14"/>
        <color rgb="FF1F4E5F"/>
        <rFont val="Noto Sans CJK SC"/>
        <family val="2"/>
      </rPr>
      <t xml:space="preserve">마스터 데이터 </t>
    </r>
    <r>
      <rPr>
        <b/>
        <sz val="14"/>
        <color rgb="FF1F4E5F"/>
        <rFont val="Arial"/>
        <family val="2"/>
      </rPr>
      <t>(</t>
    </r>
    <r>
      <rPr>
        <b/>
        <sz val="14"/>
        <color rgb="FF1F4E5F"/>
        <rFont val="Noto Sans CJK SC"/>
        <family val="2"/>
      </rPr>
      <t>예시</t>
    </r>
    <r>
      <rPr>
        <b/>
        <sz val="14"/>
        <color rgb="FF1F4E5F"/>
        <rFont val="Arial"/>
        <family val="2"/>
      </rPr>
      <t>)</t>
    </r>
  </si>
  <si>
    <t>이 파일 사용법</t>
  </si>
  <si>
    <r>
      <rPr>
        <b/>
        <sz val="11"/>
        <color rgb="FF1F4E5F"/>
        <rFont val="Arial"/>
        <family val="2"/>
      </rPr>
      <t xml:space="preserve">1. </t>
    </r>
    <r>
      <rPr>
        <b/>
        <sz val="11"/>
        <color rgb="FF1F4E5F"/>
        <rFont val="Noto Sans CJK SC"/>
        <family val="2"/>
      </rPr>
      <t xml:space="preserve">시트 </t>
    </r>
    <r>
      <rPr>
        <b/>
        <sz val="11"/>
        <color rgb="FF1F4E5F"/>
        <rFont val="Arial"/>
        <family val="2"/>
      </rPr>
      <t xml:space="preserve">= </t>
    </r>
    <r>
      <rPr>
        <b/>
        <sz val="11"/>
        <color rgb="FF1F4E5F"/>
        <rFont val="Noto Sans CJK SC"/>
        <family val="2"/>
      </rPr>
      <t>팀</t>
    </r>
  </si>
  <si>
    <r>
      <rPr>
        <sz val="11"/>
        <rFont val="Noto Sans CJK SC"/>
        <family val="2"/>
      </rPr>
      <t>시트 하나가 곧 하나의 팀입니다</t>
    </r>
    <r>
      <rPr>
        <sz val="11"/>
        <rFont val="Arial"/>
        <family val="2"/>
      </rPr>
      <t xml:space="preserve">. </t>
    </r>
    <r>
      <rPr>
        <sz val="11"/>
        <rFont val="Noto Sans CJK SC"/>
        <family val="2"/>
      </rPr>
      <t>시트 이름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예</t>
    </r>
    <r>
      <rPr>
        <sz val="11"/>
        <rFont val="Arial"/>
        <family val="2"/>
      </rPr>
      <t xml:space="preserve">: </t>
    </r>
    <r>
      <rPr>
        <sz val="11"/>
        <rFont val="Noto Sans CJK SC"/>
        <family val="2"/>
      </rPr>
      <t>주사제팀</t>
    </r>
    <r>
      <rPr>
        <sz val="11"/>
        <rFont val="Arial"/>
        <family val="2"/>
      </rPr>
      <t>)</t>
    </r>
    <r>
      <rPr>
        <sz val="11"/>
        <rFont val="Noto Sans CJK SC"/>
        <family val="2"/>
      </rPr>
      <t>이 앱의 팀 선택 드롭다운에 그대로 표시됩니다</t>
    </r>
    <r>
      <rPr>
        <sz val="11"/>
        <rFont val="Arial"/>
        <family val="2"/>
      </rPr>
      <t>.</t>
    </r>
  </si>
  <si>
    <r>
      <rPr>
        <b/>
        <sz val="11"/>
        <color rgb="FF1F4E5F"/>
        <rFont val="Arial"/>
        <family val="2"/>
      </rPr>
      <t xml:space="preserve">2. </t>
    </r>
    <r>
      <rPr>
        <b/>
        <sz val="11"/>
        <color rgb="FF1F4E5F"/>
        <rFont val="Noto Sans CJK SC"/>
        <family val="2"/>
      </rPr>
      <t>팀 추가</t>
    </r>
  </si>
  <si>
    <r>
      <rPr>
        <sz val="11"/>
        <rFont val="Noto Sans CJK SC"/>
        <family val="2"/>
      </rPr>
      <t>팀을 추가하려면 시트를 복사한 뒤 시트 이름을 팀명으로 바꾸고 내용을 수정하세요</t>
    </r>
    <r>
      <rPr>
        <sz val="11"/>
        <rFont val="Arial"/>
        <family val="2"/>
      </rPr>
      <t xml:space="preserve">. ( _ </t>
    </r>
    <r>
      <rPr>
        <sz val="11"/>
        <rFont val="Noto Sans CJK SC"/>
        <family val="2"/>
      </rPr>
      <t xml:space="preserve">로 시작하는 시트는 앱이 무시합니다 </t>
    </r>
    <r>
      <rPr>
        <sz val="11"/>
        <rFont val="Arial"/>
        <family val="2"/>
      </rPr>
      <t>)</t>
    </r>
  </si>
  <si>
    <r>
      <rPr>
        <b/>
        <sz val="11"/>
        <color rgb="FF1F4E5F"/>
        <rFont val="Arial"/>
        <family val="2"/>
      </rPr>
      <t xml:space="preserve">3. </t>
    </r>
    <r>
      <rPr>
        <b/>
        <sz val="11"/>
        <color rgb="FF1F4E5F"/>
        <rFont val="Noto Sans CJK SC"/>
        <family val="2"/>
      </rPr>
      <t>헤더 고정</t>
    </r>
  </si>
  <si>
    <r>
      <rPr>
        <sz val="11"/>
        <rFont val="Noto Sans CJK SC"/>
        <family val="2"/>
      </rPr>
      <t xml:space="preserve">각 팀 시트의 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행 헤더</t>
    </r>
    <r>
      <rPr>
        <sz val="11"/>
        <rFont val="Arial"/>
        <family val="2"/>
      </rPr>
      <t>(</t>
    </r>
    <r>
      <rPr>
        <sz val="11"/>
        <rFont val="Noto Sans CJK SC"/>
        <family val="2"/>
      </rPr>
      <t xml:space="preserve">관리번호 </t>
    </r>
    <r>
      <rPr>
        <sz val="11"/>
        <rFont val="Arial"/>
        <family val="2"/>
      </rPr>
      <t xml:space="preserve">/ </t>
    </r>
    <r>
      <rPr>
        <sz val="11"/>
        <rFont val="Noto Sans CJK SC"/>
        <family val="2"/>
      </rPr>
      <t xml:space="preserve">위치 </t>
    </r>
    <r>
      <rPr>
        <sz val="11"/>
        <rFont val="Arial"/>
        <family val="2"/>
      </rPr>
      <t xml:space="preserve">/ </t>
    </r>
    <r>
      <rPr>
        <sz val="11"/>
        <rFont val="Noto Sans CJK SC"/>
        <family val="2"/>
      </rPr>
      <t xml:space="preserve">소화기종류 </t>
    </r>
    <r>
      <rPr>
        <sz val="11"/>
        <rFont val="Arial"/>
        <family val="2"/>
      </rPr>
      <t xml:space="preserve">/ </t>
    </r>
    <r>
      <rPr>
        <sz val="11"/>
        <rFont val="Noto Sans CJK SC"/>
        <family val="2"/>
      </rPr>
      <t>점검주기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개월</t>
    </r>
    <r>
      <rPr>
        <sz val="11"/>
        <rFont val="Arial"/>
        <family val="2"/>
      </rPr>
      <t xml:space="preserve">) / </t>
    </r>
    <r>
      <rPr>
        <sz val="11"/>
        <rFont val="Noto Sans CJK SC"/>
        <family val="2"/>
      </rPr>
      <t>비고</t>
    </r>
    <r>
      <rPr>
        <sz val="11"/>
        <rFont val="Arial"/>
        <family val="2"/>
      </rPr>
      <t>)</t>
    </r>
    <r>
      <rPr>
        <sz val="11"/>
        <rFont val="Noto Sans CJK SC"/>
        <family val="2"/>
      </rPr>
      <t>는 이름을 바꾸지 마세요</t>
    </r>
    <r>
      <rPr>
        <sz val="11"/>
        <rFont val="Arial"/>
        <family val="2"/>
      </rPr>
      <t xml:space="preserve">. </t>
    </r>
    <r>
      <rPr>
        <sz val="11"/>
        <rFont val="Noto Sans CJK SC"/>
        <family val="2"/>
      </rPr>
      <t>앱이 이 이름으로 데이터를 읽습니다</t>
    </r>
    <r>
      <rPr>
        <sz val="11"/>
        <rFont val="Arial"/>
        <family val="2"/>
      </rPr>
      <t>.</t>
    </r>
  </si>
  <si>
    <r>
      <rPr>
        <b/>
        <sz val="11"/>
        <color rgb="FF1F4E5F"/>
        <rFont val="Arial"/>
        <family val="2"/>
      </rPr>
      <t xml:space="preserve">4. </t>
    </r>
    <r>
      <rPr>
        <b/>
        <sz val="11"/>
        <color rgb="FF1F4E5F"/>
        <rFont val="Noto Sans CJK SC"/>
        <family val="2"/>
      </rPr>
      <t>관리번호</t>
    </r>
  </si>
  <si>
    <r>
      <rPr>
        <sz val="11"/>
        <rFont val="Noto Sans CJK SC"/>
        <family val="2"/>
      </rPr>
      <t>같은 팀 안에서 관리번호는 겹치면 안 됩니다</t>
    </r>
    <r>
      <rPr>
        <sz val="11"/>
        <rFont val="Arial"/>
        <family val="2"/>
      </rPr>
      <t>. (</t>
    </r>
    <r>
      <rPr>
        <sz val="11"/>
        <rFont val="Noto Sans CJK SC"/>
        <family val="2"/>
      </rPr>
      <t>예</t>
    </r>
    <r>
      <rPr>
        <sz val="11"/>
        <rFont val="Arial"/>
        <family val="2"/>
      </rPr>
      <t xml:space="preserve">: A-01, A-02 …) </t>
    </r>
    <r>
      <rPr>
        <sz val="11"/>
        <rFont val="Noto Sans CJK SC"/>
        <family val="2"/>
      </rPr>
      <t>소화기 위치</t>
    </r>
    <r>
      <rPr>
        <sz val="11"/>
        <rFont val="Arial"/>
        <family val="2"/>
      </rPr>
      <t>/</t>
    </r>
    <r>
      <rPr>
        <sz val="11"/>
        <rFont val="Noto Sans CJK SC"/>
        <family val="2"/>
      </rPr>
      <t>번호 변경 시 이 칸만 수정하면 앱에 반영됩니다</t>
    </r>
    <r>
      <rPr>
        <sz val="11"/>
        <rFont val="Arial"/>
        <family val="2"/>
      </rPr>
      <t>.</t>
    </r>
  </si>
  <si>
    <r>
      <rPr>
        <b/>
        <sz val="11"/>
        <color rgb="FF1F4E5F"/>
        <rFont val="Arial"/>
        <family val="2"/>
      </rPr>
      <t xml:space="preserve">5. </t>
    </r>
    <r>
      <rPr>
        <b/>
        <sz val="11"/>
        <color rgb="FF1F4E5F"/>
        <rFont val="Noto Sans CJK SC"/>
        <family val="2"/>
      </rPr>
      <t>위치</t>
    </r>
  </si>
  <si>
    <r>
      <rPr>
        <sz val="11"/>
        <rFont val="Noto Sans CJK SC"/>
        <family val="2"/>
      </rPr>
      <t>담당자가 현장에서 바로 알아볼 수 있게 구체적으로 적으세요</t>
    </r>
    <r>
      <rPr>
        <sz val="11"/>
        <rFont val="Arial"/>
        <family val="2"/>
      </rPr>
      <t>. (</t>
    </r>
    <r>
      <rPr>
        <sz val="11"/>
        <rFont val="Noto Sans CJK SC"/>
        <family val="2"/>
      </rPr>
      <t>예</t>
    </r>
    <r>
      <rPr>
        <sz val="11"/>
        <rFont val="Arial"/>
        <family val="2"/>
      </rPr>
      <t xml:space="preserve">: </t>
    </r>
    <r>
      <rPr>
        <sz val="11"/>
        <rFont val="Noto Sans CJK SC"/>
        <family val="2"/>
      </rPr>
      <t>출입구 좌측</t>
    </r>
    <r>
      <rPr>
        <sz val="11"/>
        <rFont val="Arial"/>
        <family val="2"/>
      </rPr>
      <t>, A132</t>
    </r>
    <r>
      <rPr>
        <sz val="11"/>
        <rFont val="Noto Sans CJK SC"/>
        <family val="2"/>
      </rPr>
      <t>호 앞</t>
    </r>
    <r>
      <rPr>
        <sz val="11"/>
        <rFont val="Arial"/>
        <family val="2"/>
      </rPr>
      <t>)</t>
    </r>
  </si>
  <si>
    <r>
      <rPr>
        <b/>
        <sz val="11"/>
        <color rgb="FF1F4E5F"/>
        <rFont val="Arial"/>
        <family val="2"/>
      </rPr>
      <t xml:space="preserve">6. </t>
    </r>
    <r>
      <rPr>
        <b/>
        <sz val="11"/>
        <color rgb="FF1F4E5F"/>
        <rFont val="Noto Sans CJK SC"/>
        <family val="2"/>
      </rPr>
      <t>점검주기</t>
    </r>
  </si>
  <si>
    <r>
      <rPr>
        <sz val="11"/>
        <rFont val="Noto Sans CJK SC"/>
        <family val="2"/>
      </rPr>
      <t xml:space="preserve">모두 </t>
    </r>
    <r>
      <rPr>
        <sz val="11"/>
        <rFont val="Arial"/>
        <family val="2"/>
      </rPr>
      <t>1(</t>
    </r>
    <r>
      <rPr>
        <sz val="11"/>
        <rFont val="Noto Sans CJK SC"/>
        <family val="2"/>
      </rPr>
      <t>매월</t>
    </r>
    <r>
      <rPr>
        <sz val="11"/>
        <rFont val="Arial"/>
        <family val="2"/>
      </rPr>
      <t>)</t>
    </r>
    <r>
      <rPr>
        <sz val="11"/>
        <rFont val="Noto Sans CJK SC"/>
        <family val="2"/>
      </rPr>
      <t>로 두면 됩니다</t>
    </r>
    <r>
      <rPr>
        <sz val="11"/>
        <rFont val="Arial"/>
        <family val="2"/>
      </rPr>
      <t xml:space="preserve">. </t>
    </r>
    <r>
      <rPr>
        <sz val="11"/>
        <rFont val="Noto Sans CJK SC"/>
        <family val="2"/>
      </rPr>
      <t>분기 점검 등 예외가 생기면 숫자만 바꾸세요</t>
    </r>
    <r>
      <rPr>
        <sz val="11"/>
        <rFont val="Arial"/>
        <family val="2"/>
      </rPr>
      <t>.</t>
    </r>
  </si>
  <si>
    <r>
      <rPr>
        <b/>
        <sz val="11"/>
        <color rgb="FF1F4E5F"/>
        <rFont val="Arial"/>
        <family val="2"/>
      </rPr>
      <t xml:space="preserve">7. </t>
    </r>
    <r>
      <rPr>
        <b/>
        <sz val="11"/>
        <color rgb="FF1F4E5F"/>
        <rFont val="Noto Sans CJK SC"/>
        <family val="2"/>
      </rPr>
      <t>평면도</t>
    </r>
  </si>
  <si>
    <r>
      <rPr>
        <sz val="11"/>
        <rFont val="Noto Sans CJK SC"/>
        <family val="2"/>
      </rPr>
      <t xml:space="preserve">소화기 위치를 표시한 평면도 이미지는 </t>
    </r>
    <r>
      <rPr>
        <sz val="11"/>
        <rFont val="Arial"/>
        <family val="2"/>
      </rPr>
      <t xml:space="preserve">data/ </t>
    </r>
    <r>
      <rPr>
        <sz val="11"/>
        <rFont val="Noto Sans CJK SC"/>
        <family val="2"/>
      </rPr>
      <t>폴더의 평면도</t>
    </r>
    <r>
      <rPr>
        <sz val="11"/>
        <rFont val="Arial"/>
        <family val="2"/>
      </rPr>
      <t>_</t>
    </r>
    <r>
      <rPr>
        <sz val="11"/>
        <rFont val="Noto Sans CJK SC"/>
        <family val="2"/>
      </rPr>
      <t>팀명</t>
    </r>
    <r>
      <rPr>
        <sz val="11"/>
        <rFont val="Arial"/>
        <family val="2"/>
      </rPr>
      <t xml:space="preserve">.png </t>
    </r>
    <r>
      <rPr>
        <sz val="11"/>
        <rFont val="Noto Sans CJK SC"/>
        <family val="2"/>
      </rPr>
      <t>를 본인 라인 도면으로 교체하면 됩니다</t>
    </r>
    <r>
      <rPr>
        <sz val="11"/>
        <rFont val="Arial"/>
        <family val="2"/>
      </rPr>
      <t>. (PPT</t>
    </r>
    <r>
      <rPr>
        <sz val="11"/>
        <rFont val="Noto Sans CJK SC"/>
        <family val="2"/>
      </rPr>
      <t>로 그려 캡처</t>
    </r>
    <r>
      <rPr>
        <sz val="11"/>
        <rFont val="Arial"/>
        <family val="2"/>
      </rPr>
      <t>)</t>
    </r>
  </si>
  <si>
    <t>현재 등록 현황</t>
  </si>
  <si>
    <r>
      <rPr>
        <sz val="11"/>
        <rFont val="Noto Sans CJK SC"/>
        <family val="2"/>
      </rPr>
      <t>아래 개수는 각 팀 시트가 바뀌면 자동으로 갱신됩니다</t>
    </r>
    <r>
      <rPr>
        <sz val="11"/>
        <rFont val="Arial"/>
        <family val="2"/>
      </rPr>
      <t>.</t>
    </r>
  </si>
  <si>
    <t>팀</t>
  </si>
  <si>
    <t>소화기 수</t>
  </si>
  <si>
    <t>주사제팀</t>
  </si>
  <si>
    <t>부스틴팀</t>
  </si>
  <si>
    <t>합성의약팀</t>
  </si>
  <si>
    <t>관리동</t>
  </si>
  <si>
    <t>식당동</t>
  </si>
  <si>
    <t>합계</t>
  </si>
  <si>
    <t>관리번호</t>
  </si>
  <si>
    <t>위치</t>
  </si>
  <si>
    <t>소화기종류</t>
  </si>
  <si>
    <r>
      <rPr>
        <b/>
        <sz val="11"/>
        <color rgb="FFFFFFFF"/>
        <rFont val="Noto Sans CJK SC"/>
        <family val="2"/>
      </rPr>
      <t>점검주기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개월</t>
    </r>
    <r>
      <rPr>
        <b/>
        <sz val="11"/>
        <color rgb="FFFFFFFF"/>
        <rFont val="Arial"/>
        <family val="2"/>
      </rPr>
      <t>)</t>
    </r>
  </si>
  <si>
    <t>비고</t>
  </si>
  <si>
    <r>
      <rPr>
        <sz val="11"/>
        <rFont val="Noto Sans CJK SC"/>
        <family val="2"/>
      </rPr>
      <t xml:space="preserve">주사제 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라인 출입구 좌측</t>
    </r>
  </si>
  <si>
    <r>
      <rPr>
        <sz val="11"/>
        <rFont val="Noto Sans CJK SC"/>
        <family val="2"/>
      </rPr>
      <t>분말</t>
    </r>
    <r>
      <rPr>
        <sz val="11"/>
        <rFont val="Arial"/>
        <family val="2"/>
      </rPr>
      <t>(ABC)</t>
    </r>
  </si>
  <si>
    <r>
      <rPr>
        <sz val="11"/>
        <rFont val="Noto Sans CJK SC"/>
        <family val="2"/>
      </rPr>
      <t xml:space="preserve">주사제 </t>
    </r>
    <r>
      <rPr>
        <sz val="11"/>
        <rFont val="Arial"/>
        <family val="2"/>
      </rPr>
      <t>1</t>
    </r>
    <r>
      <rPr>
        <sz val="11"/>
        <rFont val="Noto Sans CJK SC"/>
        <family val="2"/>
      </rPr>
      <t xml:space="preserve">라인 충전실 </t>
    </r>
    <r>
      <rPr>
        <sz val="11"/>
        <rFont val="Arial"/>
        <family val="2"/>
      </rPr>
      <t>A132</t>
    </r>
    <r>
      <rPr>
        <sz val="11"/>
        <rFont val="Noto Sans CJK SC"/>
        <family val="2"/>
      </rPr>
      <t>호 앞</t>
    </r>
  </si>
  <si>
    <r>
      <rPr>
        <sz val="11"/>
        <rFont val="Noto Sans CJK SC"/>
        <family val="2"/>
      </rPr>
      <t xml:space="preserve">주사제 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라인 포장실 입구</t>
    </r>
  </si>
  <si>
    <r>
      <rPr>
        <sz val="11"/>
        <rFont val="Noto Sans CJK SC"/>
        <family val="2"/>
      </rPr>
      <t xml:space="preserve">주사제 </t>
    </r>
    <r>
      <rPr>
        <sz val="11"/>
        <rFont val="Arial"/>
        <family val="2"/>
      </rPr>
      <t>2</t>
    </r>
    <r>
      <rPr>
        <sz val="11"/>
        <rFont val="Noto Sans CJK SC"/>
        <family val="2"/>
      </rPr>
      <t>라인 출입구 우측</t>
    </r>
  </si>
  <si>
    <r>
      <rPr>
        <sz val="11"/>
        <rFont val="Noto Sans CJK SC"/>
        <family val="2"/>
      </rPr>
      <t xml:space="preserve">주사제 </t>
    </r>
    <r>
      <rPr>
        <sz val="11"/>
        <rFont val="Arial"/>
        <family val="2"/>
      </rPr>
      <t>2</t>
    </r>
    <r>
      <rPr>
        <sz val="11"/>
        <rFont val="Noto Sans CJK SC"/>
        <family val="2"/>
      </rPr>
      <t>라인 세척실 앞</t>
    </r>
  </si>
  <si>
    <t>CO2</t>
  </si>
  <si>
    <t>전기설비 인접</t>
  </si>
  <si>
    <r>
      <rPr>
        <sz val="11"/>
        <rFont val="Noto Sans CJK SC"/>
        <family val="2"/>
      </rPr>
      <t xml:space="preserve">주사제 </t>
    </r>
    <r>
      <rPr>
        <sz val="11"/>
        <rFont val="Arial"/>
        <family val="2"/>
      </rPr>
      <t>2</t>
    </r>
    <r>
      <rPr>
        <sz val="11"/>
        <rFont val="Noto Sans CJK SC"/>
        <family val="2"/>
      </rPr>
      <t>라인 동결건조실 앞</t>
    </r>
  </si>
  <si>
    <r>
      <rPr>
        <sz val="11"/>
        <rFont val="Noto Sans CJK SC"/>
        <family val="2"/>
      </rPr>
      <t xml:space="preserve">무균충전실 </t>
    </r>
    <r>
      <rPr>
        <sz val="11"/>
        <rFont val="Arial"/>
        <family val="2"/>
      </rPr>
      <t>A201</t>
    </r>
    <r>
      <rPr>
        <sz val="11"/>
        <rFont val="Noto Sans CJK SC"/>
        <family val="2"/>
      </rPr>
      <t>호 전실</t>
    </r>
  </si>
  <si>
    <t>클린룸 외부</t>
  </si>
  <si>
    <r>
      <rPr>
        <sz val="11"/>
        <rFont val="Noto Sans CJK SC"/>
        <family val="2"/>
      </rPr>
      <t xml:space="preserve">무균충전실 </t>
    </r>
    <r>
      <rPr>
        <sz val="11"/>
        <rFont val="Arial"/>
        <family val="2"/>
      </rPr>
      <t>A202</t>
    </r>
    <r>
      <rPr>
        <sz val="11"/>
        <rFont val="Noto Sans CJK SC"/>
        <family val="2"/>
      </rPr>
      <t>호 전실</t>
    </r>
  </si>
  <si>
    <r>
      <rPr>
        <sz val="11"/>
        <rFont val="Noto Sans CJK SC"/>
        <family val="2"/>
      </rPr>
      <t xml:space="preserve">계단실 </t>
    </r>
    <r>
      <rPr>
        <sz val="11"/>
        <rFont val="Arial"/>
        <family val="2"/>
      </rPr>
      <t>1</t>
    </r>
    <r>
      <rPr>
        <sz val="11"/>
        <rFont val="Noto Sans CJK SC"/>
        <family val="2"/>
      </rPr>
      <t xml:space="preserve">층 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동측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</si>
  <si>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 xml:space="preserve">계단실 </t>
    </r>
    <r>
      <rPr>
        <sz val="11"/>
        <rFont val="Arial"/>
        <family val="2"/>
      </rPr>
      <t>2</t>
    </r>
    <r>
      <rPr>
        <sz val="11"/>
        <rFont val="Noto Sans CJK SC"/>
        <family val="2"/>
      </rPr>
      <t xml:space="preserve">층 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동측</t>
    </r>
    <r>
      <rPr>
        <sz val="11"/>
        <rFont val="Arial"/>
        <family val="2"/>
      </rPr>
      <t>)</t>
    </r>
  </si>
  <si>
    <r>
      <rPr>
        <sz val="11"/>
        <rFont val="Arial"/>
        <family val="2"/>
      </rPr>
      <t xml:space="preserve">QC </t>
    </r>
    <r>
      <rPr>
        <sz val="11"/>
        <rFont val="Noto Sans CJK SC"/>
        <family val="2"/>
      </rPr>
      <t>시험실 입구</t>
    </r>
  </si>
  <si>
    <t>자재 입고장 셔터 옆</t>
  </si>
  <si>
    <t>탈의실 복도 끝</t>
  </si>
  <si>
    <t>전기실 출입문 좌측</t>
  </si>
  <si>
    <t>전기실 전용</t>
  </si>
  <si>
    <t>유틸리티실 보일러 앞</t>
  </si>
  <si>
    <r>
      <rPr>
        <sz val="11"/>
        <rFont val="Noto Sans CJK SC"/>
        <family val="2"/>
      </rPr>
      <t xml:space="preserve">완제품 창고 </t>
    </r>
    <r>
      <rPr>
        <sz val="11"/>
        <rFont val="Arial"/>
        <family val="2"/>
      </rPr>
      <t>A</t>
    </r>
    <r>
      <rPr>
        <sz val="11"/>
        <rFont val="Noto Sans CJK SC"/>
        <family val="2"/>
      </rPr>
      <t>동 입구</t>
    </r>
  </si>
  <si>
    <r>
      <rPr>
        <sz val="11"/>
        <rFont val="Noto Sans CJK SC"/>
        <family val="2"/>
      </rPr>
      <t xml:space="preserve">완제품 창고 </t>
    </r>
    <r>
      <rPr>
        <sz val="11"/>
        <rFont val="Arial"/>
        <family val="2"/>
      </rPr>
      <t>A</t>
    </r>
    <r>
      <rPr>
        <sz val="11"/>
        <rFont val="Noto Sans CJK SC"/>
        <family val="2"/>
      </rPr>
      <t>동 중앙</t>
    </r>
  </si>
  <si>
    <t>사무실 출입구</t>
  </si>
  <si>
    <t>휴게실 자판기 옆</t>
  </si>
  <si>
    <t>옥상 출입문 앞</t>
  </si>
  <si>
    <t>월동 점검 주의</t>
  </si>
  <si>
    <r>
      <rPr>
        <sz val="11"/>
        <rFont val="Noto Sans CJK SC"/>
        <family val="2"/>
      </rPr>
      <t xml:space="preserve">배양동 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층 출입구</t>
    </r>
  </si>
  <si>
    <t>정제실 입구 좌측</t>
  </si>
  <si>
    <t>정제실 크로마토그래피 구역</t>
  </si>
  <si>
    <t>정밀장비 인접</t>
  </si>
  <si>
    <t>버퍼 조제실 앞</t>
  </si>
  <si>
    <t>배지 조제실 앞</t>
  </si>
  <si>
    <r>
      <rPr>
        <sz val="11"/>
        <rFont val="Noto Sans CJK SC"/>
        <family val="2"/>
      </rPr>
      <t xml:space="preserve">원액 저장실 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냉장</t>
    </r>
    <r>
      <rPr>
        <sz val="11"/>
        <rFont val="Arial"/>
        <family val="2"/>
      </rPr>
      <t xml:space="preserve">) </t>
    </r>
    <r>
      <rPr>
        <sz val="11"/>
        <rFont val="Noto Sans CJK SC"/>
        <family val="2"/>
      </rPr>
      <t>전실</t>
    </r>
  </si>
  <si>
    <r>
      <rPr>
        <sz val="11"/>
        <rFont val="Noto Sans CJK SC"/>
        <family val="2"/>
      </rPr>
      <t xml:space="preserve">계단실 </t>
    </r>
    <r>
      <rPr>
        <sz val="11"/>
        <rFont val="Arial"/>
        <family val="2"/>
      </rPr>
      <t>1</t>
    </r>
    <r>
      <rPr>
        <sz val="11"/>
        <rFont val="Noto Sans CJK SC"/>
        <family val="2"/>
      </rPr>
      <t xml:space="preserve">층 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서측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</si>
  <si>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 xml:space="preserve">계단실 </t>
    </r>
    <r>
      <rPr>
        <sz val="11"/>
        <rFont val="Arial"/>
        <family val="2"/>
      </rPr>
      <t>2</t>
    </r>
    <r>
      <rPr>
        <sz val="11"/>
        <rFont val="Noto Sans CJK SC"/>
        <family val="2"/>
      </rPr>
      <t xml:space="preserve">층 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서측</t>
    </r>
    <r>
      <rPr>
        <sz val="11"/>
        <rFont val="Arial"/>
        <family val="2"/>
      </rPr>
      <t>)</t>
    </r>
  </si>
  <si>
    <t>유틸리티 펌프실</t>
  </si>
  <si>
    <r>
      <rPr>
        <sz val="11"/>
        <rFont val="Arial"/>
        <family val="2"/>
      </rPr>
      <t xml:space="preserve">CIP/SIP </t>
    </r>
    <r>
      <rPr>
        <sz val="11"/>
        <rFont val="Noto Sans CJK SC"/>
        <family val="2"/>
      </rPr>
      <t>스테이션 옆</t>
    </r>
  </si>
  <si>
    <t>전기실 입구</t>
  </si>
  <si>
    <t>자재 보관실 입구</t>
  </si>
  <si>
    <r>
      <rPr>
        <sz val="11"/>
        <rFont val="Arial"/>
        <family val="2"/>
      </rPr>
      <t xml:space="preserve">QC </t>
    </r>
    <r>
      <rPr>
        <sz val="11"/>
        <rFont val="Noto Sans CJK SC"/>
        <family val="2"/>
      </rPr>
      <t>미생물실 복도</t>
    </r>
  </si>
  <si>
    <r>
      <rPr>
        <sz val="11"/>
        <rFont val="Noto Sans CJK SC"/>
        <family val="2"/>
      </rPr>
      <t>탈의</t>
    </r>
    <r>
      <rPr>
        <sz val="11"/>
        <rFont val="Arial"/>
        <family val="2"/>
      </rPr>
      <t>/</t>
    </r>
    <r>
      <rPr>
        <sz val="11"/>
        <rFont val="Noto Sans CJK SC"/>
        <family val="2"/>
      </rPr>
      <t>세척실 앞</t>
    </r>
  </si>
  <si>
    <t>사무실 입구</t>
  </si>
  <si>
    <t>옥외 가스저장소 옆</t>
  </si>
  <si>
    <r>
      <rPr>
        <sz val="11"/>
        <rFont val="Noto Sans CJK SC"/>
        <family val="2"/>
      </rPr>
      <t>옥외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우천 점검 주의</t>
    </r>
  </si>
  <si>
    <t>부스틴 생산동 출입구</t>
  </si>
  <si>
    <r>
      <rPr>
        <sz val="11"/>
        <rFont val="Noto Sans CJK SC"/>
        <family val="2"/>
      </rPr>
      <t xml:space="preserve">조립 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라인 시작점</t>
    </r>
  </si>
  <si>
    <r>
      <rPr>
        <sz val="11"/>
        <rFont val="Noto Sans CJK SC"/>
        <family val="2"/>
      </rPr>
      <t xml:space="preserve">조립 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라인 중앙</t>
    </r>
  </si>
  <si>
    <r>
      <rPr>
        <sz val="11"/>
        <rFont val="Noto Sans CJK SC"/>
        <family val="2"/>
      </rPr>
      <t xml:space="preserve">조립 </t>
    </r>
    <r>
      <rPr>
        <sz val="11"/>
        <rFont val="Arial"/>
        <family val="2"/>
      </rPr>
      <t>2</t>
    </r>
    <r>
      <rPr>
        <sz val="11"/>
        <rFont val="Noto Sans CJK SC"/>
        <family val="2"/>
      </rPr>
      <t>라인 시작점</t>
    </r>
  </si>
  <si>
    <t>포장실 입구</t>
  </si>
  <si>
    <t>포장실 컨베이어 끝</t>
  </si>
  <si>
    <t>금형 보관실 앞</t>
  </si>
  <si>
    <t>전기 패널실</t>
  </si>
  <si>
    <t>컴프레서실</t>
  </si>
  <si>
    <r>
      <rPr>
        <sz val="11"/>
        <rFont val="Noto Sans CJK SC"/>
        <family val="2"/>
      </rPr>
      <t xml:space="preserve">계단실 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층</t>
    </r>
  </si>
  <si>
    <t>자재 입출고장</t>
  </si>
  <si>
    <t>사무실 복도</t>
  </si>
  <si>
    <t>휴게실 입구</t>
  </si>
  <si>
    <t>완제품 적재장</t>
  </si>
  <si>
    <r>
      <rPr>
        <sz val="11"/>
        <rFont val="Noto Sans CJK SC"/>
        <family val="2"/>
      </rPr>
      <t xml:space="preserve">합성동 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층 정문</t>
    </r>
  </si>
  <si>
    <r>
      <rPr>
        <sz val="11"/>
        <rFont val="Noto Sans CJK SC"/>
        <family val="2"/>
      </rPr>
      <t xml:space="preserve">반응실 </t>
    </r>
    <r>
      <rPr>
        <sz val="11"/>
        <rFont val="Arial"/>
        <family val="2"/>
      </rPr>
      <t xml:space="preserve">D-110 </t>
    </r>
    <r>
      <rPr>
        <sz val="11"/>
        <rFont val="Noto Sans CJK SC"/>
        <family val="2"/>
      </rPr>
      <t>앞</t>
    </r>
  </si>
  <si>
    <t>유기용제 취급구역</t>
  </si>
  <si>
    <r>
      <rPr>
        <sz val="11"/>
        <rFont val="Noto Sans CJK SC"/>
        <family val="2"/>
      </rPr>
      <t xml:space="preserve">반응실 </t>
    </r>
    <r>
      <rPr>
        <sz val="11"/>
        <rFont val="Arial"/>
        <family val="2"/>
      </rPr>
      <t xml:space="preserve">D-111 </t>
    </r>
    <r>
      <rPr>
        <sz val="11"/>
        <rFont val="Noto Sans CJK SC"/>
        <family val="2"/>
      </rPr>
      <t>앞</t>
    </r>
  </si>
  <si>
    <t>용매 저장실 전실</t>
  </si>
  <si>
    <r>
      <rPr>
        <sz val="11"/>
        <rFont val="Noto Sans CJK SC"/>
        <family val="2"/>
      </rPr>
      <t>위험물 인접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중점관리</t>
    </r>
  </si>
  <si>
    <r>
      <rPr>
        <sz val="11"/>
        <rFont val="Noto Sans CJK SC"/>
        <family val="2"/>
      </rPr>
      <t>증류</t>
    </r>
    <r>
      <rPr>
        <sz val="11"/>
        <rFont val="Arial"/>
        <family val="2"/>
      </rPr>
      <t>/</t>
    </r>
    <r>
      <rPr>
        <sz val="11"/>
        <rFont val="Noto Sans CJK SC"/>
        <family val="2"/>
      </rPr>
      <t>농축실 앞</t>
    </r>
  </si>
  <si>
    <t>결정화실 입구</t>
  </si>
  <si>
    <t>건조실 앞</t>
  </si>
  <si>
    <r>
      <rPr>
        <sz val="11"/>
        <rFont val="Noto Sans CJK SC"/>
        <family val="2"/>
      </rPr>
      <t>분쇄</t>
    </r>
    <r>
      <rPr>
        <sz val="11"/>
        <rFont val="Arial"/>
        <family val="2"/>
      </rPr>
      <t>/</t>
    </r>
    <r>
      <rPr>
        <sz val="11"/>
        <rFont val="Noto Sans CJK SC"/>
        <family val="2"/>
      </rPr>
      <t>정량실 앞</t>
    </r>
  </si>
  <si>
    <r>
      <rPr>
        <sz val="11"/>
        <rFont val="Arial"/>
        <family val="2"/>
      </rPr>
      <t xml:space="preserve">QC </t>
    </r>
    <r>
      <rPr>
        <sz val="11"/>
        <rFont val="Noto Sans CJK SC"/>
        <family val="2"/>
      </rPr>
      <t>분석실 복도</t>
    </r>
  </si>
  <si>
    <t>폐액 집하장 옆</t>
  </si>
  <si>
    <r>
      <rPr>
        <sz val="11"/>
        <rFont val="Noto Sans CJK SC"/>
        <family val="2"/>
      </rPr>
      <t>옥외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중점관리</t>
    </r>
  </si>
  <si>
    <t>전기실 출입문</t>
  </si>
  <si>
    <r>
      <rPr>
        <sz val="11"/>
        <rFont val="Noto Sans CJK SC"/>
        <family val="2"/>
      </rPr>
      <t>보일러</t>
    </r>
    <r>
      <rPr>
        <sz val="11"/>
        <rFont val="Arial"/>
        <family val="2"/>
      </rPr>
      <t>/</t>
    </r>
    <r>
      <rPr>
        <sz val="11"/>
        <rFont val="Noto Sans CJK SC"/>
        <family val="2"/>
      </rPr>
      <t>유틸리티실</t>
    </r>
  </si>
  <si>
    <r>
      <rPr>
        <sz val="11"/>
        <rFont val="Noto Sans CJK SC"/>
        <family val="2"/>
      </rPr>
      <t xml:space="preserve">계단실 </t>
    </r>
    <r>
      <rPr>
        <sz val="11"/>
        <rFont val="Arial"/>
        <family val="2"/>
      </rPr>
      <t>2</t>
    </r>
    <r>
      <rPr>
        <sz val="11"/>
        <rFont val="Noto Sans CJK SC"/>
        <family val="2"/>
      </rPr>
      <t>층</t>
    </r>
  </si>
  <si>
    <t>자재 보관실</t>
  </si>
  <si>
    <t>탈의실 복도</t>
  </si>
  <si>
    <r>
      <rPr>
        <sz val="11"/>
        <rFont val="Arial"/>
        <family val="2"/>
      </rPr>
      <t>1</t>
    </r>
    <r>
      <rPr>
        <sz val="11"/>
        <rFont val="Noto Sans CJK SC"/>
        <family val="2"/>
      </rPr>
      <t>층 로비 정문</t>
    </r>
  </si>
  <si>
    <r>
      <rPr>
        <sz val="11"/>
        <rFont val="Arial"/>
        <family val="2"/>
      </rPr>
      <t>1</t>
    </r>
    <r>
      <rPr>
        <sz val="11"/>
        <rFont val="Noto Sans CJK SC"/>
        <family val="2"/>
      </rPr>
      <t>층 안내데스크 옆</t>
    </r>
  </si>
  <si>
    <r>
      <rPr>
        <sz val="11"/>
        <rFont val="Arial"/>
        <family val="2"/>
      </rPr>
      <t>1</t>
    </r>
    <r>
      <rPr>
        <sz val="11"/>
        <rFont val="Noto Sans CJK SC"/>
        <family val="2"/>
      </rPr>
      <t>층 전산실 입구</t>
    </r>
  </si>
  <si>
    <t>서버실 전용</t>
  </si>
  <si>
    <r>
      <rPr>
        <sz val="11"/>
        <rFont val="Arial"/>
        <family val="2"/>
      </rPr>
      <t>2</t>
    </r>
    <r>
      <rPr>
        <sz val="11"/>
        <rFont val="Noto Sans CJK SC"/>
        <family val="2"/>
      </rPr>
      <t>층 대회의실 앞</t>
    </r>
  </si>
  <si>
    <r>
      <rPr>
        <sz val="11"/>
        <rFont val="Arial"/>
        <family val="2"/>
      </rPr>
      <t>2</t>
    </r>
    <r>
      <rPr>
        <sz val="11"/>
        <rFont val="Noto Sans CJK SC"/>
        <family val="2"/>
      </rPr>
      <t>층 사무공간 중앙</t>
    </r>
  </si>
  <si>
    <r>
      <rPr>
        <sz val="11"/>
        <rFont val="Arial"/>
        <family val="2"/>
      </rPr>
      <t>3</t>
    </r>
    <r>
      <rPr>
        <sz val="11"/>
        <rFont val="Noto Sans CJK SC"/>
        <family val="2"/>
      </rPr>
      <t>층 임원실 복도</t>
    </r>
  </si>
  <si>
    <r>
      <rPr>
        <sz val="11"/>
        <rFont val="Arial"/>
        <family val="2"/>
      </rPr>
      <t>3</t>
    </r>
    <r>
      <rPr>
        <sz val="11"/>
        <rFont val="Noto Sans CJK SC"/>
        <family val="2"/>
      </rPr>
      <t>층 탕비실 옆</t>
    </r>
  </si>
  <si>
    <r>
      <rPr>
        <sz val="11"/>
        <rFont val="Noto Sans CJK SC"/>
        <family val="2"/>
      </rPr>
      <t xml:space="preserve">계단실 </t>
    </r>
    <r>
      <rPr>
        <sz val="11"/>
        <rFont val="Arial"/>
        <family val="2"/>
      </rPr>
      <t>3</t>
    </r>
    <r>
      <rPr>
        <sz val="11"/>
        <rFont val="Noto Sans CJK SC"/>
        <family val="2"/>
      </rPr>
      <t>층</t>
    </r>
  </si>
  <si>
    <t>지하 주차장 입구</t>
  </si>
  <si>
    <t>식당 출입구</t>
  </si>
  <si>
    <r>
      <rPr>
        <sz val="11"/>
        <rFont val="Noto Sans CJK SC"/>
        <family val="2"/>
      </rPr>
      <t xml:space="preserve">주방 입구 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홀측</t>
    </r>
    <r>
      <rPr>
        <sz val="11"/>
        <rFont val="Arial"/>
        <family val="2"/>
      </rPr>
      <t>)</t>
    </r>
  </si>
  <si>
    <r>
      <rPr>
        <sz val="11"/>
        <rFont val="Arial"/>
        <family val="2"/>
      </rPr>
      <t>K</t>
    </r>
    <r>
      <rPr>
        <sz val="11"/>
        <rFont val="Noto Sans CJK SC"/>
        <family val="2"/>
      </rPr>
      <t>급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주방</t>
    </r>
    <r>
      <rPr>
        <sz val="11"/>
        <rFont val="Arial"/>
        <family val="2"/>
      </rPr>
      <t>)</t>
    </r>
  </si>
  <si>
    <t>식용유 화재 대응</t>
  </si>
  <si>
    <t>주방 튀김기 구역</t>
  </si>
  <si>
    <r>
      <rPr>
        <sz val="11"/>
        <rFont val="Noto Sans CJK SC"/>
        <family val="2"/>
      </rPr>
      <t>식용유 화재 대응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중점관리</t>
    </r>
  </si>
  <si>
    <t>주방 가스레인지 옆</t>
  </si>
  <si>
    <t>배식대 끝</t>
  </si>
  <si>
    <t>식자재 창고 입구</t>
  </si>
  <si>
    <r>
      <rPr>
        <sz val="11"/>
        <rFont val="Noto Sans CJK SC"/>
        <family val="2"/>
      </rPr>
      <t>냉동</t>
    </r>
    <r>
      <rPr>
        <sz val="11"/>
        <rFont val="Arial"/>
        <family val="2"/>
      </rPr>
      <t>/</t>
    </r>
    <r>
      <rPr>
        <sz val="11"/>
        <rFont val="Noto Sans CJK SC"/>
        <family val="2"/>
      </rPr>
      <t>냉장고 전실</t>
    </r>
  </si>
  <si>
    <t>휴게 공간 자판기 옆</t>
  </si>
  <si>
    <t>가스 저장소 옆</t>
  </si>
  <si>
    <t>옥외</t>
  </si>
  <si>
    <t>계단실</t>
  </si>
  <si>
    <t>원제생산팀</t>
    <phoneticPr fontId="11" type="noConversion"/>
  </si>
  <si>
    <t>주사-15</t>
  </si>
  <si>
    <r>
      <rPr>
        <sz val="11"/>
        <rFont val="맑은 고딕"/>
        <family val="3"/>
        <charset val="129"/>
      </rPr>
      <t>주사-</t>
    </r>
    <r>
      <rPr>
        <sz val="11"/>
        <rFont val="Arial"/>
        <family val="2"/>
      </rPr>
      <t>16</t>
    </r>
    <phoneticPr fontId="11" type="noConversion"/>
  </si>
  <si>
    <t>주사-01</t>
  </si>
  <si>
    <t>주사-02</t>
  </si>
  <si>
    <t>주사-03</t>
  </si>
  <si>
    <t>주사-04</t>
  </si>
  <si>
    <t>주사-05</t>
  </si>
  <si>
    <t>주사-06</t>
  </si>
  <si>
    <t>주사-07</t>
  </si>
  <si>
    <t>주사-08</t>
  </si>
  <si>
    <t>주사-09</t>
  </si>
  <si>
    <t>주사-10</t>
  </si>
  <si>
    <t>주사-11</t>
  </si>
  <si>
    <t>주사-12</t>
  </si>
  <si>
    <t>주사-13</t>
  </si>
  <si>
    <t>주사-14</t>
  </si>
  <si>
    <t>주사-17</t>
  </si>
  <si>
    <t>주사-18</t>
  </si>
  <si>
    <t>주사-19</t>
  </si>
  <si>
    <t>주사-20</t>
  </si>
  <si>
    <t>공무-01</t>
  </si>
  <si>
    <t>공무-02</t>
  </si>
  <si>
    <t>공무-03</t>
  </si>
  <si>
    <t>공무-04</t>
  </si>
  <si>
    <t>공무-05</t>
  </si>
  <si>
    <t>공무-06</t>
  </si>
  <si>
    <t>공무-07</t>
  </si>
  <si>
    <t>공무-08</t>
  </si>
  <si>
    <t>공무-09</t>
  </si>
  <si>
    <t>공무-10</t>
  </si>
  <si>
    <t>공무-11</t>
  </si>
  <si>
    <t>공무-12</t>
  </si>
  <si>
    <t>BIO-01</t>
  </si>
  <si>
    <t>BIO-02</t>
  </si>
  <si>
    <t>배양실 BIO-101 앞</t>
  </si>
  <si>
    <t>BIO-03</t>
  </si>
  <si>
    <t>배양실 BIO-102 앞</t>
  </si>
  <si>
    <t>BIO-04</t>
  </si>
  <si>
    <t>BIO-05</t>
  </si>
  <si>
    <t>BIO-06</t>
  </si>
  <si>
    <t>BIO-07</t>
  </si>
  <si>
    <t>BIO-08</t>
  </si>
  <si>
    <t>BIO-09</t>
  </si>
  <si>
    <t>BIO-10</t>
  </si>
  <si>
    <t>BIO-11</t>
  </si>
  <si>
    <t>BIO-12</t>
  </si>
  <si>
    <t>BIO-13</t>
  </si>
  <si>
    <t>BIO-14</t>
  </si>
  <si>
    <t>BIO-15</t>
  </si>
  <si>
    <t>BIO-16</t>
  </si>
  <si>
    <t>BIO-17</t>
  </si>
  <si>
    <t>BIO-18</t>
  </si>
  <si>
    <t>HA-01</t>
  </si>
  <si>
    <t>HA-02</t>
  </si>
  <si>
    <t>HA-03</t>
  </si>
  <si>
    <t>HA-04</t>
  </si>
  <si>
    <t>HA-05</t>
  </si>
  <si>
    <t>HA-06</t>
  </si>
  <si>
    <t>HA-07</t>
  </si>
  <si>
    <t>HA-08</t>
  </si>
  <si>
    <t>HA-09</t>
  </si>
  <si>
    <t>HA-10</t>
  </si>
  <si>
    <t>HA-11</t>
  </si>
  <si>
    <t>HA-12</t>
  </si>
  <si>
    <t>HA-13</t>
  </si>
  <si>
    <t>HA-14</t>
  </si>
  <si>
    <t>HA-15</t>
  </si>
  <si>
    <t>HA-16</t>
  </si>
  <si>
    <t>HA-17</t>
  </si>
  <si>
    <t>부스틴-01</t>
  </si>
  <si>
    <t>부스틴-02</t>
  </si>
  <si>
    <t>부스틴-03</t>
  </si>
  <si>
    <t>부스틴-04</t>
  </si>
  <si>
    <t>부스틴-05</t>
  </si>
  <si>
    <t>검사실 부스틴-130 앞</t>
  </si>
  <si>
    <t>부스틴-06</t>
  </si>
  <si>
    <t>부스틴-07</t>
  </si>
  <si>
    <t>부스틴-08</t>
  </si>
  <si>
    <t>부스틴-09</t>
  </si>
  <si>
    <t>부스틴-10</t>
  </si>
  <si>
    <t>부스틴-11</t>
  </si>
  <si>
    <t>부스틴-12</t>
  </si>
  <si>
    <t>부스틴-13</t>
  </si>
  <si>
    <t>부스틴-14</t>
  </si>
  <si>
    <t>부스틴-15</t>
  </si>
  <si>
    <t>사무동-01</t>
  </si>
  <si>
    <t>사무동-02</t>
  </si>
  <si>
    <t>사무동-03</t>
  </si>
  <si>
    <t>사무동-04</t>
  </si>
  <si>
    <t>사무동-05</t>
  </si>
  <si>
    <t>사무동-06</t>
  </si>
  <si>
    <t>사무동-07</t>
  </si>
  <si>
    <t>사무동-08</t>
  </si>
  <si>
    <t>사무동-09</t>
  </si>
  <si>
    <t>사무동-10</t>
  </si>
  <si>
    <t>사무동-11</t>
  </si>
  <si>
    <t>사무동-12</t>
  </si>
  <si>
    <t>지원-01</t>
  </si>
  <si>
    <t>지원-02</t>
  </si>
  <si>
    <t>지원-03</t>
  </si>
  <si>
    <t>지원-04</t>
  </si>
  <si>
    <t>지원-05</t>
  </si>
  <si>
    <t>지원-06</t>
  </si>
  <si>
    <t>지원-07</t>
  </si>
  <si>
    <t>지원-08</t>
  </si>
  <si>
    <t>지원-09</t>
  </si>
  <si>
    <t>지원-10</t>
  </si>
  <si>
    <t>식당-01</t>
  </si>
  <si>
    <t>식당-02</t>
  </si>
  <si>
    <t>식당-03</t>
  </si>
  <si>
    <t>식당-04</t>
  </si>
  <si>
    <t>식당-05</t>
  </si>
  <si>
    <t>식당-06</t>
  </si>
  <si>
    <t>식당-07</t>
  </si>
  <si>
    <t>식당-08</t>
  </si>
  <si>
    <t>식당-09</t>
  </si>
  <si>
    <t>식당-10</t>
  </si>
  <si>
    <t>환안-01</t>
  </si>
  <si>
    <t>환안-02</t>
  </si>
  <si>
    <t>반응실 환안-110 앞</t>
  </si>
  <si>
    <t>환안-03</t>
  </si>
  <si>
    <t>반응실 환안-111 앞</t>
  </si>
  <si>
    <t>환안-04</t>
  </si>
  <si>
    <t>환안-05</t>
  </si>
  <si>
    <t>환안-06</t>
  </si>
  <si>
    <t>환안-07</t>
  </si>
  <si>
    <t>환안-08</t>
  </si>
  <si>
    <t>환안-09</t>
  </si>
  <si>
    <t>환안-10</t>
  </si>
  <si>
    <t>환안-11</t>
  </si>
  <si>
    <t>환안-12</t>
  </si>
  <si>
    <t>환안-13</t>
  </si>
  <si>
    <t>환안-14</t>
  </si>
  <si>
    <t>환안-15</t>
  </si>
  <si>
    <t>환안-16</t>
  </si>
  <si>
    <t>환안-17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</si>
</sst>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family val="2"/>
      <charset val="1"/>
    </font>
    <font>
      <b/>
      <sz val="14"/>
      <color rgb="FF1F4E5F"/>
      <name val="Noto Sans CJK SC"/>
      <family val="2"/>
    </font>
    <font>
      <b/>
      <sz val="14"/>
      <color rgb="FF1F4E5F"/>
      <name val="Arial"/>
      <family val="2"/>
    </font>
    <font>
      <b/>
      <sz val="11"/>
      <color rgb="FF1F4E5F"/>
      <name val="Arial"/>
      <family val="2"/>
    </font>
    <font>
      <sz val="11"/>
      <name val="Arial"/>
      <family val="2"/>
    </font>
    <font>
      <b/>
      <sz val="11"/>
      <color rgb="FF1F4E5F"/>
      <name val="Noto Sans CJK SC"/>
      <family val="2"/>
    </font>
    <font>
      <sz val="11"/>
      <name val="Noto Sans CJK SC"/>
      <family val="2"/>
    </font>
    <font>
      <b/>
      <sz val="11"/>
      <color rgb="FFFFFFFF"/>
      <name val="Noto Sans CJK SC"/>
      <family val="2"/>
    </font>
    <font>
      <b/>
      <sz val="11"/>
      <name val="Noto Sans CJK SC"/>
      <family val="2"/>
    </font>
    <font>
      <b/>
      <sz val="11"/>
      <name val="Arial"/>
      <family val="2"/>
    </font>
    <font>
      <b/>
      <sz val="11"/>
      <color rgb="FFFFFFFF"/>
      <name val="Arial"/>
      <family val="2"/>
    </font>
    <font>
      <sz val="8"/>
      <name val="돋움"/>
      <family val="3"/>
      <charset val="129"/>
    </font>
    <font>
      <sz val="11"/>
      <name val="맑은 고딕"/>
      <family val="3"/>
      <charset val="129"/>
    </font>
    <font>
      <sz val="11"/>
      <name val="Arial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1F4E5F"/>
        <bgColor rgb="FF333333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horizontal="left" vertical="center" wrapText="1"/>
    </xf>
    <xf numFmtId="0" fontId="5" fillId="0" borderId="0" xfId="0" applyFont="1"/>
    <xf numFmtId="0" fontId="6" fillId="0" borderId="0" xfId="0" applyFont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8" fillId="3" borderId="1" xfId="0" applyFont="1" applyFill="1" applyBorder="1"/>
    <xf numFmtId="0" fontId="9" fillId="3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4E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B2:C22"/>
  <sheetViews>
    <sheetView zoomScaleNormal="100" workbookViewId="0">
      <selection activeCell="B18" sqref="B18"/>
    </sheetView>
  </sheetViews>
  <sheetFormatPr defaultColWidth="8.7109375" defaultRowHeight="15"/>
  <cols>
    <col min="1" max="1" width="3" customWidth="1"/>
    <col min="2" max="2" width="22" customWidth="1"/>
    <col min="3" max="3" width="107" customWidth="1"/>
  </cols>
  <sheetData>
    <row r="2" spans="2:3" ht="18">
      <c r="B2" s="1" t="s">
        <v>0</v>
      </c>
    </row>
    <row r="3" spans="2:3">
      <c r="B3" s="2"/>
      <c r="C3" s="3"/>
    </row>
    <row r="4" spans="2:3">
      <c r="B4" s="4" t="s">
        <v>1</v>
      </c>
      <c r="C4" s="3"/>
    </row>
    <row r="5" spans="2:3" ht="28.5">
      <c r="B5" s="2" t="s">
        <v>2</v>
      </c>
      <c r="C5" s="5" t="s">
        <v>3</v>
      </c>
    </row>
    <row r="6" spans="2:3" ht="42.75">
      <c r="B6" s="2" t="s">
        <v>4</v>
      </c>
      <c r="C6" s="5" t="s">
        <v>5</v>
      </c>
    </row>
    <row r="7" spans="2:3" ht="42.75">
      <c r="B7" s="2" t="s">
        <v>6</v>
      </c>
      <c r="C7" s="5" t="s">
        <v>7</v>
      </c>
    </row>
    <row r="8" spans="2:3" ht="42.75">
      <c r="B8" s="2" t="s">
        <v>8</v>
      </c>
      <c r="C8" s="5" t="s">
        <v>9</v>
      </c>
    </row>
    <row r="9" spans="2:3" ht="28.5">
      <c r="B9" s="2" t="s">
        <v>10</v>
      </c>
      <c r="C9" s="5" t="s">
        <v>11</v>
      </c>
    </row>
    <row r="10" spans="2:3" ht="28.5">
      <c r="B10" s="2" t="s">
        <v>12</v>
      </c>
      <c r="C10" s="5" t="s">
        <v>13</v>
      </c>
    </row>
    <row r="11" spans="2:3" ht="42.75">
      <c r="B11" s="2" t="s">
        <v>14</v>
      </c>
      <c r="C11" s="5" t="s">
        <v>15</v>
      </c>
    </row>
    <row r="12" spans="2:3">
      <c r="B12" s="2"/>
      <c r="C12" s="3"/>
    </row>
    <row r="13" spans="2:3">
      <c r="B13" s="4" t="s">
        <v>16</v>
      </c>
      <c r="C13" s="5" t="s">
        <v>17</v>
      </c>
    </row>
    <row r="15" spans="2:3">
      <c r="B15" s="6" t="s">
        <v>18</v>
      </c>
      <c r="C15" s="6" t="s">
        <v>19</v>
      </c>
    </row>
    <row r="16" spans="2:3">
      <c r="B16" s="7" t="s">
        <v>20</v>
      </c>
      <c r="C16" s="8">
        <f>COUNTA(주사제팀!A2:A1000)</f>
        <v>20</v>
      </c>
    </row>
    <row r="17" spans="2:3" ht="16.5">
      <c r="B17" s="14" t="s">
        <v>131</v>
      </c>
      <c r="C17" s="8">
        <f>COUNTA(바이오원제팀!A2:A1000)</f>
        <v>18</v>
      </c>
    </row>
    <row r="18" spans="2:3">
      <c r="B18" s="7" t="s">
        <v>21</v>
      </c>
      <c r="C18" s="8">
        <f>COUNTA(부스틴팀!A2:A1000)</f>
        <v>15</v>
      </c>
    </row>
    <row r="19" spans="2:3">
      <c r="B19" s="7" t="s">
        <v>22</v>
      </c>
      <c r="C19" s="8">
        <f>COUNTA(환경안전팀!A2:A1000)</f>
        <v>17</v>
      </c>
    </row>
    <row r="20" spans="2:3">
      <c r="B20" s="7" t="s">
        <v>23</v>
      </c>
      <c r="C20" s="8">
        <f>COUNTA(사무동!A2:A1000)</f>
        <v>12</v>
      </c>
    </row>
    <row r="21" spans="2:3">
      <c r="B21" s="7" t="s">
        <v>24</v>
      </c>
      <c r="C21" s="8">
        <f>COUNTA(식당동!A2:A1000)</f>
        <v>10</v>
      </c>
    </row>
    <row r="22" spans="2:3">
      <c r="B22" s="9" t="s">
        <v>25</v>
      </c>
      <c r="C22" s="10">
        <f>SUM(C16:C21)</f>
        <v>92</v>
      </c>
    </row>
  </sheetData>
  <phoneticPr fontId="11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4E5F"/>
  </sheetPr>
  <dimension ref="A1:E21"/>
  <sheetViews>
    <sheetView zoomScaleNormal="100" workbookViewId="0">
      <pane ySplit="1" topLeftCell="A2" activePane="bottomLeft" state="frozen"/>
      <selection pane="bottomLeft" activeCell="F10" sqref="F10"/>
    </sheetView>
  </sheetViews>
  <sheetFormatPr defaultColWidth="8.7109375" defaultRowHeight="15"/>
  <cols>
    <col min="1" max="1" width="14" customWidth="1"/>
    <col min="2" max="2" width="34" customWidth="1"/>
    <col min="3" max="3" width="16" customWidth="1"/>
    <col min="4" max="4" width="14" customWidth="1"/>
    <col min="5" max="5" width="30" customWidth="1"/>
  </cols>
  <sheetData>
    <row r="1" spans="1:5">
      <c r="A1" s="6" t="s">
        <v>26</v>
      </c>
      <c r="B1" s="6" t="s">
        <v>27</v>
      </c>
      <c r="C1" s="6" t="s">
        <v>28</v>
      </c>
      <c r="D1" s="6" t="s">
        <v>29</v>
      </c>
      <c r="E1" s="6" t="s">
        <v>30</v>
      </c>
    </row>
    <row r="2" spans="1:5">
      <c r="A2" s="8" t="s">
        <v>134</v>
      </c>
      <c r="B2" s="11" t="s">
        <v>31</v>
      </c>
      <c r="C2" s="12" t="s">
        <v>32</v>
      </c>
      <c r="D2" s="12">
        <v>1</v>
      </c>
      <c r="E2" s="11"/>
    </row>
    <row r="3" spans="1:5">
      <c r="A3" s="8" t="s">
        <v>135</v>
      </c>
      <c r="B3" s="11" t="s">
        <v>33</v>
      </c>
      <c r="C3" s="12" t="s">
        <v>32</v>
      </c>
      <c r="D3" s="12">
        <v>1</v>
      </c>
      <c r="E3" s="11"/>
    </row>
    <row r="4" spans="1:5">
      <c r="A4" s="8" t="s">
        <v>136</v>
      </c>
      <c r="B4" s="11" t="s">
        <v>34</v>
      </c>
      <c r="C4" s="12" t="s">
        <v>32</v>
      </c>
      <c r="D4" s="12">
        <v>1</v>
      </c>
      <c r="E4" s="11"/>
    </row>
    <row r="5" spans="1:5">
      <c r="A5" s="8" t="s">
        <v>137</v>
      </c>
      <c r="B5" s="11" t="s">
        <v>35</v>
      </c>
      <c r="C5" s="12" t="s">
        <v>32</v>
      </c>
      <c r="D5" s="12">
        <v>1</v>
      </c>
      <c r="E5" s="11"/>
    </row>
    <row r="6" spans="1:5">
      <c r="A6" s="8" t="s">
        <v>138</v>
      </c>
      <c r="B6" s="11" t="s">
        <v>36</v>
      </c>
      <c r="C6" s="8" t="s">
        <v>37</v>
      </c>
      <c r="D6" s="12">
        <v>1</v>
      </c>
      <c r="E6" s="11" t="s">
        <v>38</v>
      </c>
    </row>
    <row r="7" spans="1:5">
      <c r="A7" s="8" t="s">
        <v>139</v>
      </c>
      <c r="B7" s="11" t="s">
        <v>39</v>
      </c>
      <c r="C7" s="12" t="s">
        <v>32</v>
      </c>
      <c r="D7" s="12">
        <v>1</v>
      </c>
      <c r="E7" s="11"/>
    </row>
    <row r="8" spans="1:5">
      <c r="A8" s="8" t="s">
        <v>140</v>
      </c>
      <c r="B8" s="11" t="s">
        <v>40</v>
      </c>
      <c r="C8" s="12" t="s">
        <v>32</v>
      </c>
      <c r="D8" s="12">
        <v>1</v>
      </c>
      <c r="E8" s="11" t="s">
        <v>41</v>
      </c>
    </row>
    <row r="9" spans="1:5">
      <c r="A9" s="8" t="s">
        <v>141</v>
      </c>
      <c r="B9" s="11" t="s">
        <v>42</v>
      </c>
      <c r="C9" s="12" t="s">
        <v>32</v>
      </c>
      <c r="D9" s="12">
        <v>1</v>
      </c>
      <c r="E9" s="11"/>
    </row>
    <row r="10" spans="1:5">
      <c r="A10" s="8" t="s">
        <v>142</v>
      </c>
      <c r="B10" s="11" t="s">
        <v>43</v>
      </c>
      <c r="C10" s="12" t="s">
        <v>32</v>
      </c>
      <c r="D10" s="12">
        <v>1</v>
      </c>
      <c r="E10" s="11"/>
    </row>
    <row r="11" spans="1:5">
      <c r="A11" s="8" t="s">
        <v>143</v>
      </c>
      <c r="B11" s="11" t="s">
        <v>44</v>
      </c>
      <c r="C11" s="12" t="s">
        <v>32</v>
      </c>
      <c r="D11" s="12">
        <v>1</v>
      </c>
      <c r="E11" s="11"/>
    </row>
    <row r="12" spans="1:5">
      <c r="A12" s="8" t="s">
        <v>144</v>
      </c>
      <c r="B12" s="13" t="s">
        <v>45</v>
      </c>
      <c r="C12" s="12" t="s">
        <v>32</v>
      </c>
      <c r="D12" s="12">
        <v>1</v>
      </c>
      <c r="E12" s="13"/>
    </row>
    <row r="13" spans="1:5">
      <c r="A13" s="8" t="s">
        <v>145</v>
      </c>
      <c r="B13" s="11" t="s">
        <v>46</v>
      </c>
      <c r="C13" s="12" t="s">
        <v>32</v>
      </c>
      <c r="D13" s="12">
        <v>1</v>
      </c>
      <c r="E13" s="13"/>
    </row>
    <row r="14" spans="1:5">
      <c r="A14" s="8" t="s">
        <v>146</v>
      </c>
      <c r="B14" s="11" t="s">
        <v>47</v>
      </c>
      <c r="C14" s="12" t="s">
        <v>32</v>
      </c>
      <c r="D14" s="12">
        <v>1</v>
      </c>
      <c r="E14" s="13"/>
    </row>
    <row r="15" spans="1:5">
      <c r="A15" s="8" t="s">
        <v>147</v>
      </c>
      <c r="B15" s="11" t="s">
        <v>48</v>
      </c>
      <c r="C15" s="8" t="s">
        <v>37</v>
      </c>
      <c r="D15" s="12">
        <v>1</v>
      </c>
      <c r="E15" s="11" t="s">
        <v>49</v>
      </c>
    </row>
    <row r="16" spans="1:5">
      <c r="A16" s="8" t="s">
        <v>132</v>
      </c>
      <c r="B16" s="11" t="s">
        <v>50</v>
      </c>
      <c r="C16" s="12" t="s">
        <v>32</v>
      </c>
      <c r="D16" s="12">
        <v>1</v>
      </c>
      <c r="E16" s="13"/>
    </row>
    <row r="17" spans="1:5" ht="16.5">
      <c r="A17" s="15" t="s">
        <v>133</v>
      </c>
      <c r="B17" s="11" t="s">
        <v>51</v>
      </c>
      <c r="C17" s="12" t="s">
        <v>32</v>
      </c>
      <c r="D17" s="12">
        <v>1</v>
      </c>
      <c r="E17" s="13"/>
    </row>
    <row r="18" spans="1:5">
      <c r="A18" s="8" t="s">
        <v>148</v>
      </c>
      <c r="B18" s="11" t="s">
        <v>52</v>
      </c>
      <c r="C18" s="12" t="s">
        <v>32</v>
      </c>
      <c r="D18" s="12">
        <v>1</v>
      </c>
      <c r="E18" s="13"/>
    </row>
    <row r="19" spans="1:5">
      <c r="A19" s="8" t="s">
        <v>149</v>
      </c>
      <c r="B19" s="11" t="s">
        <v>53</v>
      </c>
      <c r="C19" s="12" t="s">
        <v>32</v>
      </c>
      <c r="D19" s="12">
        <v>1</v>
      </c>
      <c r="E19" s="13"/>
    </row>
    <row r="20" spans="1:5">
      <c r="A20" s="8" t="s">
        <v>150</v>
      </c>
      <c r="B20" s="11" t="s">
        <v>54</v>
      </c>
      <c r="C20" s="12" t="s">
        <v>32</v>
      </c>
      <c r="D20" s="12">
        <v>1</v>
      </c>
      <c r="E20" s="13"/>
    </row>
    <row r="21" spans="1:5">
      <c r="A21" s="8" t="s">
        <v>151</v>
      </c>
      <c r="B21" s="11" t="s">
        <v>55</v>
      </c>
      <c r="C21" s="12" t="s">
        <v>32</v>
      </c>
      <c r="D21" s="12">
        <v>1</v>
      </c>
      <c r="E21" s="11" t="s">
        <v>56</v>
      </c>
    </row>
  </sheetData>
  <autoFilter ref="A1:E21" xr:uid="{00000000-0009-0000-0000-000001000000}"/>
  <phoneticPr fontId="11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E5F"/>
  </sheetPr>
  <dimension ref="A1:E19"/>
  <sheetViews>
    <sheetView zoomScaleNormal="100" workbookViewId="0">
      <pane ySplit="1" topLeftCell="A2" activePane="bottomLeft" state="frozen"/>
      <selection pane="bottomLeft" activeCell="D22" sqref="D22"/>
    </sheetView>
  </sheetViews>
  <sheetFormatPr defaultColWidth="8.7109375" defaultRowHeight="15"/>
  <cols>
    <col min="1" max="1" width="14" customWidth="1"/>
    <col min="2" max="2" width="34" customWidth="1"/>
    <col min="3" max="3" width="16" customWidth="1"/>
    <col min="4" max="4" width="14" customWidth="1"/>
    <col min="5" max="5" width="30" customWidth="1"/>
  </cols>
  <sheetData>
    <row r="1" spans="1:5">
      <c r="A1" s="6" t="s">
        <v>26</v>
      </c>
      <c r="B1" s="6" t="s">
        <v>27</v>
      </c>
      <c r="C1" s="6" t="s">
        <v>28</v>
      </c>
      <c r="D1" s="6" t="s">
        <v>29</v>
      </c>
      <c r="E1" s="6" t="s">
        <v>30</v>
      </c>
    </row>
    <row r="2" spans="1:5">
      <c r="A2" s="8" t="s">
        <v>164</v>
      </c>
      <c r="B2" s="11" t="s">
        <v>57</v>
      </c>
      <c r="C2" s="12" t="s">
        <v>32</v>
      </c>
      <c r="D2" s="12">
        <v>1</v>
      </c>
      <c r="E2" s="13"/>
    </row>
    <row r="3" spans="1:5">
      <c r="A3" s="8" t="s">
        <v>165</v>
      </c>
      <c r="B3" s="11" t="s">
        <v>166</v>
      </c>
      <c r="C3" s="12" t="s">
        <v>32</v>
      </c>
      <c r="D3" s="12">
        <v>1</v>
      </c>
      <c r="E3" s="13"/>
    </row>
    <row r="4" spans="1:5">
      <c r="A4" s="8" t="s">
        <v>167</v>
      </c>
      <c r="B4" s="11" t="s">
        <v>168</v>
      </c>
      <c r="C4" s="12" t="s">
        <v>32</v>
      </c>
      <c r="D4" s="12">
        <v>1</v>
      </c>
      <c r="E4" s="13"/>
    </row>
    <row r="5" spans="1:5">
      <c r="A5" s="8" t="s">
        <v>169</v>
      </c>
      <c r="B5" s="11" t="s">
        <v>58</v>
      </c>
      <c r="C5" s="12" t="s">
        <v>32</v>
      </c>
      <c r="D5" s="12">
        <v>1</v>
      </c>
      <c r="E5" s="13"/>
    </row>
    <row r="6" spans="1:5">
      <c r="A6" s="8" t="s">
        <v>170</v>
      </c>
      <c r="B6" s="11" t="s">
        <v>59</v>
      </c>
      <c r="C6" s="8" t="s">
        <v>37</v>
      </c>
      <c r="D6" s="12">
        <v>1</v>
      </c>
      <c r="E6" s="11" t="s">
        <v>60</v>
      </c>
    </row>
    <row r="7" spans="1:5">
      <c r="A7" s="8" t="s">
        <v>171</v>
      </c>
      <c r="B7" s="11" t="s">
        <v>61</v>
      </c>
      <c r="C7" s="12" t="s">
        <v>32</v>
      </c>
      <c r="D7" s="12">
        <v>1</v>
      </c>
      <c r="E7" s="13"/>
    </row>
    <row r="8" spans="1:5">
      <c r="A8" s="8" t="s">
        <v>172</v>
      </c>
      <c r="B8" s="11" t="s">
        <v>62</v>
      </c>
      <c r="C8" s="12" t="s">
        <v>32</v>
      </c>
      <c r="D8" s="12">
        <v>1</v>
      </c>
      <c r="E8" s="13"/>
    </row>
    <row r="9" spans="1:5">
      <c r="A9" s="8" t="s">
        <v>173</v>
      </c>
      <c r="B9" s="11" t="s">
        <v>63</v>
      </c>
      <c r="C9" s="12" t="s">
        <v>32</v>
      </c>
      <c r="D9" s="12">
        <v>1</v>
      </c>
      <c r="E9" s="13"/>
    </row>
    <row r="10" spans="1:5">
      <c r="A10" s="8" t="s">
        <v>174</v>
      </c>
      <c r="B10" s="11" t="s">
        <v>64</v>
      </c>
      <c r="C10" s="12" t="s">
        <v>32</v>
      </c>
      <c r="D10" s="12">
        <v>1</v>
      </c>
      <c r="E10" s="13"/>
    </row>
    <row r="11" spans="1:5">
      <c r="A11" s="8" t="s">
        <v>175</v>
      </c>
      <c r="B11" s="11" t="s">
        <v>65</v>
      </c>
      <c r="C11" s="12" t="s">
        <v>32</v>
      </c>
      <c r="D11" s="12">
        <v>1</v>
      </c>
      <c r="E11" s="13"/>
    </row>
    <row r="12" spans="1:5">
      <c r="A12" s="8" t="s">
        <v>176</v>
      </c>
      <c r="B12" s="11" t="s">
        <v>66</v>
      </c>
      <c r="C12" s="12" t="s">
        <v>32</v>
      </c>
      <c r="D12" s="12">
        <v>1</v>
      </c>
      <c r="E12" s="13"/>
    </row>
    <row r="13" spans="1:5">
      <c r="A13" s="8" t="s">
        <v>177</v>
      </c>
      <c r="B13" s="13" t="s">
        <v>67</v>
      </c>
      <c r="C13" s="12" t="s">
        <v>32</v>
      </c>
      <c r="D13" s="12">
        <v>1</v>
      </c>
      <c r="E13" s="13"/>
    </row>
    <row r="14" spans="1:5">
      <c r="A14" s="8" t="s">
        <v>178</v>
      </c>
      <c r="B14" s="11" t="s">
        <v>68</v>
      </c>
      <c r="C14" s="8" t="s">
        <v>37</v>
      </c>
      <c r="D14" s="12">
        <v>1</v>
      </c>
      <c r="E14" s="11" t="s">
        <v>49</v>
      </c>
    </row>
    <row r="15" spans="1:5">
      <c r="A15" s="8" t="s">
        <v>179</v>
      </c>
      <c r="B15" s="11" t="s">
        <v>69</v>
      </c>
      <c r="C15" s="12" t="s">
        <v>32</v>
      </c>
      <c r="D15" s="12">
        <v>1</v>
      </c>
      <c r="E15" s="13"/>
    </row>
    <row r="16" spans="1:5">
      <c r="A16" s="8" t="s">
        <v>180</v>
      </c>
      <c r="B16" s="13" t="s">
        <v>70</v>
      </c>
      <c r="C16" s="12" t="s">
        <v>32</v>
      </c>
      <c r="D16" s="12">
        <v>1</v>
      </c>
      <c r="E16" s="13"/>
    </row>
    <row r="17" spans="1:5">
      <c r="A17" s="8" t="s">
        <v>181</v>
      </c>
      <c r="B17" s="11" t="s">
        <v>71</v>
      </c>
      <c r="C17" s="12" t="s">
        <v>32</v>
      </c>
      <c r="D17" s="12">
        <v>1</v>
      </c>
      <c r="E17" s="13"/>
    </row>
    <row r="18" spans="1:5">
      <c r="A18" s="8" t="s">
        <v>182</v>
      </c>
      <c r="B18" s="11" t="s">
        <v>72</v>
      </c>
      <c r="C18" s="12" t="s">
        <v>32</v>
      </c>
      <c r="D18" s="12">
        <v>1</v>
      </c>
      <c r="E18" s="13"/>
    </row>
    <row r="19" spans="1:5">
      <c r="A19" s="8" t="s">
        <v>183</v>
      </c>
      <c r="B19" s="11" t="s">
        <v>73</v>
      </c>
      <c r="C19" s="12" t="s">
        <v>32</v>
      </c>
      <c r="D19" s="12">
        <v>1</v>
      </c>
      <c r="E19" s="11" t="s">
        <v>74</v>
      </c>
    </row>
  </sheetData>
  <autoFilter ref="A1:E19" xr:uid="{00000000-0009-0000-0000-000002000000}"/>
  <phoneticPr fontId="11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78F14-985D-46FB-866D-21402638CFC9}">
  <sheetPr>
    <tabColor rgb="FF1F4E5F"/>
  </sheetPr>
  <dimension ref="A1:E18"/>
  <sheetViews>
    <sheetView zoomScaleNormal="100" workbookViewId="0">
      <pane ySplit="1" topLeftCell="A2" activePane="bottomLeft" state="frozen"/>
      <selection pane="bottomLeft" activeCell="C15" sqref="C15"/>
    </sheetView>
  </sheetViews>
  <sheetFormatPr defaultColWidth="8.7109375" defaultRowHeight="15"/>
  <cols>
    <col min="1" max="1" width="14" customWidth="1"/>
    <col min="2" max="2" width="34" customWidth="1"/>
    <col min="3" max="3" width="16" customWidth="1"/>
    <col min="4" max="4" width="14" customWidth="1"/>
    <col min="5" max="5" width="30" customWidth="1"/>
  </cols>
  <sheetData>
    <row r="1" spans="1:5">
      <c r="A1" s="6" t="s">
        <v>26</v>
      </c>
      <c r="B1" s="6" t="s">
        <v>27</v>
      </c>
      <c r="C1" s="6" t="s">
        <v>28</v>
      </c>
      <c r="D1" s="6" t="s">
        <v>29</v>
      </c>
      <c r="E1" s="6" t="s">
        <v>30</v>
      </c>
    </row>
    <row r="2" spans="1:5">
      <c r="A2" s="8" t="s">
        <v>184</v>
      </c>
      <c r="B2" s="11" t="s">
        <v>89</v>
      </c>
      <c r="C2" s="12" t="s">
        <v>32</v>
      </c>
      <c r="D2" s="12">
        <v>1</v>
      </c>
      <c r="E2" s="13"/>
    </row>
    <row r="3" spans="1:5">
      <c r="A3" s="8" t="s">
        <v>185</v>
      </c>
      <c r="B3" s="11" t="s">
        <v>90</v>
      </c>
      <c r="C3" s="12" t="s">
        <v>32</v>
      </c>
      <c r="D3" s="12">
        <v>1</v>
      </c>
      <c r="E3" s="11" t="s">
        <v>91</v>
      </c>
    </row>
    <row r="4" spans="1:5">
      <c r="A4" s="8" t="s">
        <v>186</v>
      </c>
      <c r="B4" s="11" t="s">
        <v>92</v>
      </c>
      <c r="C4" s="12" t="s">
        <v>32</v>
      </c>
      <c r="D4" s="12">
        <v>1</v>
      </c>
      <c r="E4" s="11" t="s">
        <v>91</v>
      </c>
    </row>
    <row r="5" spans="1:5">
      <c r="A5" s="8" t="s">
        <v>187</v>
      </c>
      <c r="B5" s="11" t="s">
        <v>93</v>
      </c>
      <c r="C5" s="12" t="s">
        <v>32</v>
      </c>
      <c r="D5" s="12">
        <v>1</v>
      </c>
      <c r="E5" s="11" t="s">
        <v>94</v>
      </c>
    </row>
    <row r="6" spans="1:5">
      <c r="A6" s="8" t="s">
        <v>188</v>
      </c>
      <c r="B6" s="11" t="s">
        <v>95</v>
      </c>
      <c r="C6" s="8" t="s">
        <v>37</v>
      </c>
      <c r="D6" s="12">
        <v>1</v>
      </c>
      <c r="E6" s="13"/>
    </row>
    <row r="7" spans="1:5">
      <c r="A7" s="8" t="s">
        <v>189</v>
      </c>
      <c r="B7" s="11" t="s">
        <v>96</v>
      </c>
      <c r="C7" s="12" t="s">
        <v>32</v>
      </c>
      <c r="D7" s="12">
        <v>1</v>
      </c>
      <c r="E7" s="13"/>
    </row>
    <row r="8" spans="1:5">
      <c r="A8" s="8" t="s">
        <v>190</v>
      </c>
      <c r="B8" s="11" t="s">
        <v>97</v>
      </c>
      <c r="C8" s="12" t="s">
        <v>32</v>
      </c>
      <c r="D8" s="12">
        <v>1</v>
      </c>
      <c r="E8" s="13"/>
    </row>
    <row r="9" spans="1:5">
      <c r="A9" s="8" t="s">
        <v>191</v>
      </c>
      <c r="B9" s="11" t="s">
        <v>98</v>
      </c>
      <c r="C9" s="12" t="s">
        <v>32</v>
      </c>
      <c r="D9" s="12">
        <v>1</v>
      </c>
      <c r="E9" s="13"/>
    </row>
    <row r="10" spans="1:5">
      <c r="A10" s="8" t="s">
        <v>192</v>
      </c>
      <c r="B10" s="13" t="s">
        <v>99</v>
      </c>
      <c r="C10" s="12" t="s">
        <v>32</v>
      </c>
      <c r="D10" s="12">
        <v>1</v>
      </c>
      <c r="E10" s="13"/>
    </row>
    <row r="11" spans="1:5">
      <c r="A11" s="8" t="s">
        <v>193</v>
      </c>
      <c r="B11" s="11" t="s">
        <v>100</v>
      </c>
      <c r="C11" s="12" t="s">
        <v>32</v>
      </c>
      <c r="D11" s="12">
        <v>1</v>
      </c>
      <c r="E11" s="11" t="s">
        <v>101</v>
      </c>
    </row>
    <row r="12" spans="1:5">
      <c r="A12" s="8" t="s">
        <v>194</v>
      </c>
      <c r="B12" s="11" t="s">
        <v>102</v>
      </c>
      <c r="C12" s="8" t="s">
        <v>37</v>
      </c>
      <c r="D12" s="12">
        <v>1</v>
      </c>
      <c r="E12" s="11" t="s">
        <v>49</v>
      </c>
    </row>
    <row r="13" spans="1:5">
      <c r="A13" s="8" t="s">
        <v>195</v>
      </c>
      <c r="B13" s="11" t="s">
        <v>103</v>
      </c>
      <c r="C13" s="12" t="s">
        <v>32</v>
      </c>
      <c r="D13" s="12">
        <v>1</v>
      </c>
      <c r="E13" s="13"/>
    </row>
    <row r="14" spans="1:5">
      <c r="A14" s="8" t="s">
        <v>196</v>
      </c>
      <c r="B14" s="11" t="s">
        <v>84</v>
      </c>
      <c r="C14" s="12" t="s">
        <v>32</v>
      </c>
      <c r="D14" s="12">
        <v>1</v>
      </c>
      <c r="E14" s="13"/>
    </row>
    <row r="15" spans="1:5">
      <c r="A15" s="8" t="s">
        <v>197</v>
      </c>
      <c r="B15" s="11" t="s">
        <v>104</v>
      </c>
      <c r="C15" s="12" t="s">
        <v>32</v>
      </c>
      <c r="D15" s="12">
        <v>1</v>
      </c>
      <c r="E15" s="13"/>
    </row>
    <row r="16" spans="1:5">
      <c r="A16" s="8" t="s">
        <v>198</v>
      </c>
      <c r="B16" s="11" t="s">
        <v>105</v>
      </c>
      <c r="C16" s="12" t="s">
        <v>32</v>
      </c>
      <c r="D16" s="12">
        <v>1</v>
      </c>
      <c r="E16" s="13"/>
    </row>
    <row r="17" spans="1:5">
      <c r="A17" s="8" t="s">
        <v>199</v>
      </c>
      <c r="B17" s="11" t="s">
        <v>72</v>
      </c>
      <c r="C17" s="12" t="s">
        <v>32</v>
      </c>
      <c r="D17" s="12">
        <v>1</v>
      </c>
      <c r="E17" s="13"/>
    </row>
    <row r="18" spans="1:5">
      <c r="A18" s="8" t="s">
        <v>200</v>
      </c>
      <c r="B18" s="11" t="s">
        <v>106</v>
      </c>
      <c r="C18" s="12" t="s">
        <v>32</v>
      </c>
      <c r="D18" s="12">
        <v>1</v>
      </c>
      <c r="E18" s="13"/>
    </row>
  </sheetData>
  <autoFilter ref="A1:E18" xr:uid="{00000000-0009-0000-0000-000002000000}"/>
  <phoneticPr fontId="11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E5F"/>
  </sheetPr>
  <dimension ref="A1:E16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/>
  <cols>
    <col min="1" max="1" width="14" customWidth="1"/>
    <col min="2" max="2" width="34" customWidth="1"/>
    <col min="3" max="3" width="16" customWidth="1"/>
    <col min="4" max="4" width="14" customWidth="1"/>
    <col min="5" max="5" width="30" customWidth="1"/>
  </cols>
  <sheetData>
    <row r="1" spans="1:5">
      <c r="A1" s="6" t="s">
        <v>26</v>
      </c>
      <c r="B1" s="6" t="s">
        <v>27</v>
      </c>
      <c r="C1" s="6" t="s">
        <v>28</v>
      </c>
      <c r="D1" s="6" t="s">
        <v>29</v>
      </c>
      <c r="E1" s="6" t="s">
        <v>30</v>
      </c>
    </row>
    <row r="2" spans="1:5">
      <c r="A2" s="8" t="s">
        <v>201</v>
      </c>
      <c r="B2" s="11" t="s">
        <v>75</v>
      </c>
      <c r="C2" s="12" t="s">
        <v>32</v>
      </c>
      <c r="D2" s="12">
        <v>1</v>
      </c>
      <c r="E2" s="13"/>
    </row>
    <row r="3" spans="1:5">
      <c r="A3" s="8" t="s">
        <v>202</v>
      </c>
      <c r="B3" s="11" t="s">
        <v>76</v>
      </c>
      <c r="C3" s="12" t="s">
        <v>32</v>
      </c>
      <c r="D3" s="12">
        <v>1</v>
      </c>
      <c r="E3" s="13"/>
    </row>
    <row r="4" spans="1:5">
      <c r="A4" s="8" t="s">
        <v>203</v>
      </c>
      <c r="B4" s="11" t="s">
        <v>77</v>
      </c>
      <c r="C4" s="12" t="s">
        <v>32</v>
      </c>
      <c r="D4" s="12">
        <v>1</v>
      </c>
      <c r="E4" s="13"/>
    </row>
    <row r="5" spans="1:5">
      <c r="A5" s="8" t="s">
        <v>204</v>
      </c>
      <c r="B5" s="11" t="s">
        <v>78</v>
      </c>
      <c r="C5" s="12" t="s">
        <v>32</v>
      </c>
      <c r="D5" s="12">
        <v>1</v>
      </c>
      <c r="E5" s="13"/>
    </row>
    <row r="6" spans="1:5">
      <c r="A6" s="8" t="s">
        <v>205</v>
      </c>
      <c r="B6" s="11" t="s">
        <v>206</v>
      </c>
      <c r="C6" s="12" t="s">
        <v>32</v>
      </c>
      <c r="D6" s="12">
        <v>1</v>
      </c>
      <c r="E6" s="13"/>
    </row>
    <row r="7" spans="1:5">
      <c r="A7" s="8" t="s">
        <v>207</v>
      </c>
      <c r="B7" s="11" t="s">
        <v>79</v>
      </c>
      <c r="C7" s="12" t="s">
        <v>32</v>
      </c>
      <c r="D7" s="12">
        <v>1</v>
      </c>
      <c r="E7" s="13"/>
    </row>
    <row r="8" spans="1:5">
      <c r="A8" s="8" t="s">
        <v>208</v>
      </c>
      <c r="B8" s="11" t="s">
        <v>80</v>
      </c>
      <c r="C8" s="12" t="s">
        <v>32</v>
      </c>
      <c r="D8" s="12">
        <v>1</v>
      </c>
      <c r="E8" s="13"/>
    </row>
    <row r="9" spans="1:5">
      <c r="A9" s="8" t="s">
        <v>209</v>
      </c>
      <c r="B9" s="11" t="s">
        <v>81</v>
      </c>
      <c r="C9" s="12" t="s">
        <v>32</v>
      </c>
      <c r="D9" s="12">
        <v>1</v>
      </c>
      <c r="E9" s="13"/>
    </row>
    <row r="10" spans="1:5">
      <c r="A10" s="8" t="s">
        <v>210</v>
      </c>
      <c r="B10" s="11" t="s">
        <v>82</v>
      </c>
      <c r="C10" s="8" t="s">
        <v>37</v>
      </c>
      <c r="D10" s="12">
        <v>1</v>
      </c>
      <c r="E10" s="11" t="s">
        <v>38</v>
      </c>
    </row>
    <row r="11" spans="1:5">
      <c r="A11" s="8" t="s">
        <v>211</v>
      </c>
      <c r="B11" s="11" t="s">
        <v>83</v>
      </c>
      <c r="C11" s="12" t="s">
        <v>32</v>
      </c>
      <c r="D11" s="12">
        <v>1</v>
      </c>
      <c r="E11" s="13"/>
    </row>
    <row r="12" spans="1:5">
      <c r="A12" s="8" t="s">
        <v>212</v>
      </c>
      <c r="B12" s="11" t="s">
        <v>84</v>
      </c>
      <c r="C12" s="12" t="s">
        <v>32</v>
      </c>
      <c r="D12" s="12">
        <v>1</v>
      </c>
      <c r="E12" s="13"/>
    </row>
    <row r="13" spans="1:5">
      <c r="A13" s="8" t="s">
        <v>213</v>
      </c>
      <c r="B13" s="11" t="s">
        <v>85</v>
      </c>
      <c r="C13" s="12" t="s">
        <v>32</v>
      </c>
      <c r="D13" s="12">
        <v>1</v>
      </c>
      <c r="E13" s="13"/>
    </row>
    <row r="14" spans="1:5">
      <c r="A14" s="8" t="s">
        <v>214</v>
      </c>
      <c r="B14" s="11" t="s">
        <v>86</v>
      </c>
      <c r="C14" s="12" t="s">
        <v>32</v>
      </c>
      <c r="D14" s="12">
        <v>1</v>
      </c>
      <c r="E14" s="13"/>
    </row>
    <row r="15" spans="1:5">
      <c r="A15" s="8" t="s">
        <v>215</v>
      </c>
      <c r="B15" s="11" t="s">
        <v>87</v>
      </c>
      <c r="C15" s="12" t="s">
        <v>32</v>
      </c>
      <c r="D15" s="12">
        <v>1</v>
      </c>
      <c r="E15" s="13"/>
    </row>
    <row r="16" spans="1:5">
      <c r="A16" s="8" t="s">
        <v>216</v>
      </c>
      <c r="B16" s="11" t="s">
        <v>88</v>
      </c>
      <c r="C16" s="12" t="s">
        <v>32</v>
      </c>
      <c r="D16" s="12">
        <v>1</v>
      </c>
      <c r="E16" s="13"/>
    </row>
  </sheetData>
  <autoFilter ref="A1:E16" xr:uid="{00000000-0009-0000-0000-000003000000}"/>
  <phoneticPr fontId="11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51FB7-BC82-480E-AB93-11FAA5A073B8}">
  <sheetPr>
    <tabColor rgb="FF1F4E5F"/>
  </sheetPr>
  <dimension ref="A1:E11"/>
  <sheetViews>
    <sheetView zoomScaleNormal="100" workbookViewId="0">
      <pane ySplit="1" topLeftCell="A2" activePane="bottomLeft" state="frozen"/>
      <selection pane="bottomLeft" activeCell="E11" sqref="E11"/>
    </sheetView>
  </sheetViews>
  <sheetFormatPr defaultColWidth="8.7109375" defaultRowHeight="15"/>
  <cols>
    <col min="1" max="1" width="14" customWidth="1"/>
    <col min="2" max="2" width="34" customWidth="1"/>
    <col min="3" max="3" width="16" customWidth="1"/>
    <col min="4" max="4" width="14" customWidth="1"/>
    <col min="5" max="5" width="30" customWidth="1"/>
  </cols>
  <sheetData>
    <row r="1" spans="1:5">
      <c r="A1" s="6" t="s">
        <v>26</v>
      </c>
      <c r="B1" s="6" t="s">
        <v>27</v>
      </c>
      <c r="C1" s="6" t="s">
        <v>28</v>
      </c>
      <c r="D1" s="6" t="s">
        <v>29</v>
      </c>
      <c r="E1" s="6" t="s">
        <v>30</v>
      </c>
    </row>
    <row r="2" spans="1:5">
      <c r="A2" s="8" t="s">
        <v>229</v>
      </c>
      <c r="B2" s="11" t="s">
        <v>117</v>
      </c>
      <c r="C2" s="12" t="s">
        <v>32</v>
      </c>
      <c r="D2" s="12">
        <v>1</v>
      </c>
      <c r="E2" s="13"/>
    </row>
    <row r="3" spans="1:5">
      <c r="A3" s="8" t="s">
        <v>230</v>
      </c>
      <c r="B3" s="11" t="s">
        <v>118</v>
      </c>
      <c r="C3" s="8" t="s">
        <v>119</v>
      </c>
      <c r="D3" s="12">
        <v>1</v>
      </c>
      <c r="E3" s="11" t="s">
        <v>120</v>
      </c>
    </row>
    <row r="4" spans="1:5">
      <c r="A4" s="8" t="s">
        <v>231</v>
      </c>
      <c r="B4" s="11" t="s">
        <v>121</v>
      </c>
      <c r="C4" s="8" t="s">
        <v>119</v>
      </c>
      <c r="D4" s="12">
        <v>1</v>
      </c>
      <c r="E4" s="11" t="s">
        <v>122</v>
      </c>
    </row>
    <row r="5" spans="1:5">
      <c r="A5" s="8" t="s">
        <v>232</v>
      </c>
      <c r="B5" s="11" t="s">
        <v>123</v>
      </c>
      <c r="C5" s="8" t="s">
        <v>119</v>
      </c>
      <c r="D5" s="12">
        <v>1</v>
      </c>
      <c r="E5" s="11" t="s">
        <v>120</v>
      </c>
    </row>
    <row r="6" spans="1:5">
      <c r="A6" s="8" t="s">
        <v>233</v>
      </c>
      <c r="B6" s="11" t="s">
        <v>124</v>
      </c>
      <c r="C6" s="12" t="s">
        <v>32</v>
      </c>
      <c r="D6" s="12">
        <v>1</v>
      </c>
      <c r="E6" s="13"/>
    </row>
    <row r="7" spans="1:5">
      <c r="A7" s="8" t="s">
        <v>234</v>
      </c>
      <c r="B7" s="11" t="s">
        <v>125</v>
      </c>
      <c r="C7" s="12" t="s">
        <v>32</v>
      </c>
      <c r="D7" s="12">
        <v>1</v>
      </c>
      <c r="E7" s="13"/>
    </row>
    <row r="8" spans="1:5">
      <c r="A8" s="8" t="s">
        <v>235</v>
      </c>
      <c r="B8" s="11" t="s">
        <v>126</v>
      </c>
      <c r="C8" s="12" t="s">
        <v>32</v>
      </c>
      <c r="D8" s="12">
        <v>1</v>
      </c>
      <c r="E8" s="13"/>
    </row>
    <row r="9" spans="1:5">
      <c r="A9" s="8" t="s">
        <v>236</v>
      </c>
      <c r="B9" s="11" t="s">
        <v>127</v>
      </c>
      <c r="C9" s="12" t="s">
        <v>32</v>
      </c>
      <c r="D9" s="12">
        <v>1</v>
      </c>
      <c r="E9" s="13"/>
    </row>
    <row r="10" spans="1:5">
      <c r="A10" s="8" t="s">
        <v>237</v>
      </c>
      <c r="B10" s="11" t="s">
        <v>128</v>
      </c>
      <c r="C10" s="12" t="s">
        <v>32</v>
      </c>
      <c r="D10" s="12">
        <v>1</v>
      </c>
      <c r="E10" s="11" t="s">
        <v>129</v>
      </c>
    </row>
    <row r="11" spans="1:5">
      <c r="A11" s="8" t="s">
        <v>238</v>
      </c>
      <c r="B11" s="11" t="s">
        <v>130</v>
      </c>
      <c r="C11" s="12" t="s">
        <v>32</v>
      </c>
      <c r="D11" s="12">
        <v>1</v>
      </c>
      <c r="E11" s="13"/>
    </row>
  </sheetData>
  <autoFilter ref="A1:E11" xr:uid="{00000000-0009-0000-0000-000006000000}"/>
  <phoneticPr fontId="11" type="noConversion"/>
  <pageMargins left="0.75" right="0.75" top="1" bottom="1" header="0.511811023622047" footer="0.511811023622047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4178D-9A54-4E70-BBA9-5DA91CA9E3DD}">
  <sheetPr>
    <tabColor rgb="FF1F4E5F"/>
  </sheetPr>
  <dimension ref="A1:E13"/>
  <sheetViews>
    <sheetView zoomScaleNormal="100" workbookViewId="0">
      <pane ySplit="1" topLeftCell="A2" activePane="bottomLeft" state="frozen"/>
      <selection pane="bottomLeft" activeCell="B15" sqref="B15"/>
    </sheetView>
  </sheetViews>
  <sheetFormatPr defaultColWidth="8.7109375" defaultRowHeight="15"/>
  <cols>
    <col min="1" max="1" width="14" customWidth="1"/>
    <col min="2" max="2" width="34" customWidth="1"/>
    <col min="3" max="3" width="16" customWidth="1"/>
    <col min="4" max="4" width="14" customWidth="1"/>
    <col min="5" max="5" width="30" customWidth="1"/>
  </cols>
  <sheetData>
    <row r="1" spans="1:5">
      <c r="A1" s="6" t="s">
        <v>26</v>
      </c>
      <c r="B1" s="6" t="s">
        <v>27</v>
      </c>
      <c r="C1" s="6" t="s">
        <v>28</v>
      </c>
      <c r="D1" s="6" t="s">
        <v>29</v>
      </c>
      <c r="E1" s="6" t="s">
        <v>30</v>
      </c>
    </row>
    <row r="2" spans="1:5">
      <c r="A2" s="8" t="s">
        <v>152</v>
      </c>
      <c r="B2" s="13" t="s">
        <v>107</v>
      </c>
      <c r="C2" s="12" t="s">
        <v>32</v>
      </c>
      <c r="D2" s="12">
        <v>1</v>
      </c>
      <c r="E2" s="13"/>
    </row>
    <row r="3" spans="1:5">
      <c r="A3" s="8" t="s">
        <v>153</v>
      </c>
      <c r="B3" s="13" t="s">
        <v>108</v>
      </c>
      <c r="C3" s="12" t="s">
        <v>32</v>
      </c>
      <c r="D3" s="12">
        <v>1</v>
      </c>
      <c r="E3" s="13"/>
    </row>
    <row r="4" spans="1:5">
      <c r="A4" s="8" t="s">
        <v>154</v>
      </c>
      <c r="B4" s="13" t="s">
        <v>109</v>
      </c>
      <c r="C4" s="8" t="s">
        <v>37</v>
      </c>
      <c r="D4" s="12">
        <v>1</v>
      </c>
      <c r="E4" s="11" t="s">
        <v>110</v>
      </c>
    </row>
    <row r="5" spans="1:5">
      <c r="A5" s="8" t="s">
        <v>155</v>
      </c>
      <c r="B5" s="13" t="s">
        <v>111</v>
      </c>
      <c r="C5" s="12" t="s">
        <v>32</v>
      </c>
      <c r="D5" s="12">
        <v>1</v>
      </c>
      <c r="E5" s="13"/>
    </row>
    <row r="6" spans="1:5">
      <c r="A6" s="8" t="s">
        <v>156</v>
      </c>
      <c r="B6" s="13" t="s">
        <v>112</v>
      </c>
      <c r="C6" s="12" t="s">
        <v>32</v>
      </c>
      <c r="D6" s="12">
        <v>1</v>
      </c>
      <c r="E6" s="13"/>
    </row>
    <row r="7" spans="1:5">
      <c r="A7" s="8" t="s">
        <v>157</v>
      </c>
      <c r="B7" s="13" t="s">
        <v>113</v>
      </c>
      <c r="C7" s="12" t="s">
        <v>32</v>
      </c>
      <c r="D7" s="12">
        <v>1</v>
      </c>
      <c r="E7" s="13"/>
    </row>
    <row r="8" spans="1:5">
      <c r="A8" s="8" t="s">
        <v>158</v>
      </c>
      <c r="B8" s="13" t="s">
        <v>114</v>
      </c>
      <c r="C8" s="12" t="s">
        <v>32</v>
      </c>
      <c r="D8" s="12">
        <v>1</v>
      </c>
      <c r="E8" s="13"/>
    </row>
    <row r="9" spans="1:5">
      <c r="A9" s="8" t="s">
        <v>159</v>
      </c>
      <c r="B9" s="11" t="s">
        <v>84</v>
      </c>
      <c r="C9" s="12" t="s">
        <v>32</v>
      </c>
      <c r="D9" s="12">
        <v>1</v>
      </c>
      <c r="E9" s="13"/>
    </row>
    <row r="10" spans="1:5">
      <c r="A10" s="8" t="s">
        <v>160</v>
      </c>
      <c r="B10" s="11" t="s">
        <v>104</v>
      </c>
      <c r="C10" s="12" t="s">
        <v>32</v>
      </c>
      <c r="D10" s="12">
        <v>1</v>
      </c>
      <c r="E10" s="13"/>
    </row>
    <row r="11" spans="1:5">
      <c r="A11" s="8" t="s">
        <v>161</v>
      </c>
      <c r="B11" s="11" t="s">
        <v>115</v>
      </c>
      <c r="C11" s="12" t="s">
        <v>32</v>
      </c>
      <c r="D11" s="12">
        <v>1</v>
      </c>
      <c r="E11" s="13"/>
    </row>
    <row r="12" spans="1:5">
      <c r="A12" s="8" t="s">
        <v>162</v>
      </c>
      <c r="B12" s="11" t="s">
        <v>116</v>
      </c>
      <c r="C12" s="12" t="s">
        <v>32</v>
      </c>
      <c r="D12" s="12">
        <v>1</v>
      </c>
      <c r="E12" s="13"/>
    </row>
    <row r="13" spans="1:5">
      <c r="A13" s="8" t="s">
        <v>163</v>
      </c>
      <c r="B13" s="11" t="s">
        <v>102</v>
      </c>
      <c r="C13" s="8" t="s">
        <v>37</v>
      </c>
      <c r="D13" s="12">
        <v>1</v>
      </c>
      <c r="E13" s="11" t="s">
        <v>49</v>
      </c>
    </row>
  </sheetData>
  <autoFilter ref="A1:E13" xr:uid="{00000000-0009-0000-0000-000005000000}"/>
  <phoneticPr fontId="11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F4E5F"/>
  </sheetPr>
  <dimension ref="A1:E18"/>
  <sheetViews>
    <sheetView tabSelected="1" zoomScaleNormal="100" workbookViewId="0">
      <pane ySplit="1" topLeftCell="A2" activePane="bottomLeft" state="frozen"/>
      <selection pane="bottomLeft" activeCell="G23" sqref="G23"/>
    </sheetView>
  </sheetViews>
  <sheetFormatPr defaultColWidth="8.7109375" defaultRowHeight="15"/>
  <cols>
    <col min="1" max="1" width="14" customWidth="1"/>
    <col min="2" max="2" width="34" customWidth="1"/>
    <col min="3" max="3" width="16" customWidth="1"/>
    <col min="4" max="4" width="14" customWidth="1"/>
    <col min="5" max="5" width="30" customWidth="1"/>
  </cols>
  <sheetData>
    <row r="1" spans="1:5">
      <c r="A1" s="6" t="s">
        <v>26</v>
      </c>
      <c r="B1" s="6" t="s">
        <v>27</v>
      </c>
      <c r="C1" s="6" t="s">
        <v>28</v>
      </c>
      <c r="D1" s="6" t="s">
        <v>29</v>
      </c>
      <c r="E1" s="6" t="s">
        <v>30</v>
      </c>
    </row>
    <row r="2" spans="1:5">
      <c r="A2" s="8" t="s">
        <v>249</v>
      </c>
      <c r="B2" s="11" t="s">
        <v>89</v>
      </c>
      <c r="C2" s="12" t="s">
        <v>32</v>
      </c>
      <c r="D2" s="12">
        <v>1</v>
      </c>
      <c r="E2" s="13"/>
    </row>
    <row r="3" spans="1:5">
      <c r="A3" s="8" t="s">
        <v>250</v>
      </c>
      <c r="B3" s="11" t="s">
        <v>251</v>
      </c>
      <c r="C3" s="12" t="s">
        <v>32</v>
      </c>
      <c r="D3" s="12">
        <v>1</v>
      </c>
      <c r="E3" s="11" t="s">
        <v>91</v>
      </c>
    </row>
    <row r="4" spans="1:5">
      <c r="A4" s="8" t="s">
        <v>252</v>
      </c>
      <c r="B4" s="11" t="s">
        <v>253</v>
      </c>
      <c r="C4" s="12" t="s">
        <v>32</v>
      </c>
      <c r="D4" s="12">
        <v>1</v>
      </c>
      <c r="E4" s="11" t="s">
        <v>91</v>
      </c>
    </row>
    <row r="5" spans="1:5">
      <c r="A5" s="8" t="s">
        <v>254</v>
      </c>
      <c r="B5" s="11" t="s">
        <v>93</v>
      </c>
      <c r="C5" s="12" t="s">
        <v>32</v>
      </c>
      <c r="D5" s="12">
        <v>1</v>
      </c>
      <c r="E5" s="11" t="s">
        <v>94</v>
      </c>
    </row>
    <row r="6" spans="1:5">
      <c r="A6" s="8" t="s">
        <v>255</v>
      </c>
      <c r="B6" s="11" t="s">
        <v>95</v>
      </c>
      <c r="C6" s="8" t="s">
        <v>37</v>
      </c>
      <c r="D6" s="12">
        <v>1</v>
      </c>
      <c r="E6" s="13"/>
    </row>
    <row r="7" spans="1:5">
      <c r="A7" s="8" t="s">
        <v>256</v>
      </c>
      <c r="B7" s="11" t="s">
        <v>96</v>
      </c>
      <c r="C7" s="12" t="s">
        <v>32</v>
      </c>
      <c r="D7" s="12">
        <v>1</v>
      </c>
      <c r="E7" s="13"/>
    </row>
    <row r="8" spans="1:5">
      <c r="A8" s="8" t="s">
        <v>257</v>
      </c>
      <c r="B8" s="11" t="s">
        <v>97</v>
      </c>
      <c r="C8" s="12" t="s">
        <v>32</v>
      </c>
      <c r="D8" s="12">
        <v>1</v>
      </c>
      <c r="E8" s="13"/>
    </row>
    <row r="9" spans="1:5">
      <c r="A9" s="8" t="s">
        <v>258</v>
      </c>
      <c r="B9" s="11" t="s">
        <v>98</v>
      </c>
      <c r="C9" s="12" t="s">
        <v>32</v>
      </c>
      <c r="D9" s="12">
        <v>1</v>
      </c>
      <c r="E9" s="13"/>
    </row>
    <row r="10" spans="1:5">
      <c r="A10" s="8" t="s">
        <v>259</v>
      </c>
      <c r="B10" s="13" t="s">
        <v>99</v>
      </c>
      <c r="C10" s="12" t="s">
        <v>32</v>
      </c>
      <c r="D10" s="12">
        <v>1</v>
      </c>
      <c r="E10" s="13"/>
    </row>
    <row r="11" spans="1:5">
      <c r="A11" s="8" t="s">
        <v>260</v>
      </c>
      <c r="B11" s="11" t="s">
        <v>100</v>
      </c>
      <c r="C11" s="12" t="s">
        <v>32</v>
      </c>
      <c r="D11" s="12">
        <v>1</v>
      </c>
      <c r="E11" s="11" t="s">
        <v>101</v>
      </c>
    </row>
    <row r="12" spans="1:5">
      <c r="A12" s="8" t="s">
        <v>261</v>
      </c>
      <c r="B12" s="11" t="s">
        <v>102</v>
      </c>
      <c r="C12" s="8" t="s">
        <v>37</v>
      </c>
      <c r="D12" s="12">
        <v>1</v>
      </c>
      <c r="E12" s="11" t="s">
        <v>49</v>
      </c>
    </row>
    <row r="13" spans="1:5">
      <c r="A13" s="8" t="s">
        <v>262</v>
      </c>
      <c r="B13" s="11" t="s">
        <v>103</v>
      </c>
      <c r="C13" s="12" t="s">
        <v>32</v>
      </c>
      <c r="D13" s="12">
        <v>1</v>
      </c>
      <c r="E13" s="13"/>
    </row>
    <row r="14" spans="1:5">
      <c r="A14" s="8" t="s">
        <v>263</v>
      </c>
      <c r="B14" s="11" t="s">
        <v>84</v>
      </c>
      <c r="C14" s="12" t="s">
        <v>32</v>
      </c>
      <c r="D14" s="12">
        <v>1</v>
      </c>
      <c r="E14" s="13"/>
    </row>
    <row r="15" spans="1:5">
      <c r="A15" s="8" t="s">
        <v>264</v>
      </c>
      <c r="B15" s="11" t="s">
        <v>104</v>
      </c>
      <c r="C15" s="12" t="s">
        <v>32</v>
      </c>
      <c r="D15" s="12">
        <v>1</v>
      </c>
      <c r="E15" s="13"/>
    </row>
    <row r="16" spans="1:5">
      <c r="A16" s="8" t="s">
        <v>265</v>
      </c>
      <c r="B16" s="11" t="s">
        <v>105</v>
      </c>
      <c r="C16" s="12" t="s">
        <v>32</v>
      </c>
      <c r="D16" s="12">
        <v>1</v>
      </c>
      <c r="E16" s="13"/>
    </row>
    <row r="17" spans="1:5">
      <c r="A17" s="8" t="s">
        <v>266</v>
      </c>
      <c r="B17" s="11" t="s">
        <v>72</v>
      </c>
      <c r="C17" s="12" t="s">
        <v>32</v>
      </c>
      <c r="D17" s="12">
        <v>1</v>
      </c>
      <c r="E17" s="13"/>
    </row>
    <row r="18" spans="1:5">
      <c r="A18" s="8" t="s">
        <v>267</v>
      </c>
      <c r="B18" s="11" t="s">
        <v>106</v>
      </c>
      <c r="C18" s="12" t="s">
        <v>32</v>
      </c>
      <c r="D18" s="12">
        <v>1</v>
      </c>
      <c r="E18" s="13"/>
    </row>
  </sheetData>
  <autoFilter ref="A1:E18" xr:uid="{00000000-0009-0000-0000-000004000000}"/>
  <phoneticPr fontId="11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4E5F"/>
  </sheetPr>
  <dimension ref="A1:E13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/>
  <cols>
    <col min="1" max="1" width="14" customWidth="1"/>
    <col min="2" max="2" width="34" customWidth="1"/>
    <col min="3" max="3" width="16" customWidth="1"/>
    <col min="4" max="4" width="14" customWidth="1"/>
    <col min="5" max="5" width="30" customWidth="1"/>
  </cols>
  <sheetData>
    <row r="1" spans="1:5">
      <c r="A1" s="6" t="s">
        <v>26</v>
      </c>
      <c r="B1" s="6" t="s">
        <v>27</v>
      </c>
      <c r="C1" s="6" t="s">
        <v>28</v>
      </c>
      <c r="D1" s="6" t="s">
        <v>29</v>
      </c>
      <c r="E1" s="6" t="s">
        <v>30</v>
      </c>
    </row>
    <row r="2" spans="1:5">
      <c r="A2" s="8" t="s">
        <v>217</v>
      </c>
      <c r="B2" s="13" t="s">
        <v>107</v>
      </c>
      <c r="C2" s="12" t="s">
        <v>32</v>
      </c>
      <c r="D2" s="12">
        <v>1</v>
      </c>
      <c r="E2" s="13"/>
    </row>
    <row r="3" spans="1:5">
      <c r="A3" s="8" t="s">
        <v>218</v>
      </c>
      <c r="B3" s="13" t="s">
        <v>108</v>
      </c>
      <c r="C3" s="12" t="s">
        <v>32</v>
      </c>
      <c r="D3" s="12">
        <v>1</v>
      </c>
      <c r="E3" s="13"/>
    </row>
    <row r="4" spans="1:5">
      <c r="A4" s="8" t="s">
        <v>219</v>
      </c>
      <c r="B4" s="13" t="s">
        <v>109</v>
      </c>
      <c r="C4" s="8" t="s">
        <v>37</v>
      </c>
      <c r="D4" s="12">
        <v>1</v>
      </c>
      <c r="E4" s="11" t="s">
        <v>110</v>
      </c>
    </row>
    <row r="5" spans="1:5">
      <c r="A5" s="8" t="s">
        <v>220</v>
      </c>
      <c r="B5" s="13" t="s">
        <v>111</v>
      </c>
      <c r="C5" s="12" t="s">
        <v>32</v>
      </c>
      <c r="D5" s="12">
        <v>1</v>
      </c>
      <c r="E5" s="13"/>
    </row>
    <row r="6" spans="1:5">
      <c r="A6" s="8" t="s">
        <v>221</v>
      </c>
      <c r="B6" s="13" t="s">
        <v>112</v>
      </c>
      <c r="C6" s="12" t="s">
        <v>32</v>
      </c>
      <c r="D6" s="12">
        <v>1</v>
      </c>
      <c r="E6" s="13"/>
    </row>
    <row r="7" spans="1:5">
      <c r="A7" s="8" t="s">
        <v>222</v>
      </c>
      <c r="B7" s="13" t="s">
        <v>113</v>
      </c>
      <c r="C7" s="12" t="s">
        <v>32</v>
      </c>
      <c r="D7" s="12">
        <v>1</v>
      </c>
      <c r="E7" s="13"/>
    </row>
    <row r="8" spans="1:5">
      <c r="A8" s="8" t="s">
        <v>223</v>
      </c>
      <c r="B8" s="13" t="s">
        <v>114</v>
      </c>
      <c r="C8" s="12" t="s">
        <v>32</v>
      </c>
      <c r="D8" s="12">
        <v>1</v>
      </c>
      <c r="E8" s="13"/>
    </row>
    <row r="9" spans="1:5">
      <c r="A9" s="8" t="s">
        <v>224</v>
      </c>
      <c r="B9" s="11" t="s">
        <v>84</v>
      </c>
      <c r="C9" s="12" t="s">
        <v>32</v>
      </c>
      <c r="D9" s="12">
        <v>1</v>
      </c>
      <c r="E9" s="13"/>
    </row>
    <row r="10" spans="1:5">
      <c r="A10" s="8" t="s">
        <v>225</v>
      </c>
      <c r="B10" s="11" t="s">
        <v>104</v>
      </c>
      <c r="C10" s="12" t="s">
        <v>32</v>
      </c>
      <c r="D10" s="12">
        <v>1</v>
      </c>
      <c r="E10" s="13"/>
    </row>
    <row r="11" spans="1:5">
      <c r="A11" s="8" t="s">
        <v>226</v>
      </c>
      <c r="B11" s="11" t="s">
        <v>115</v>
      </c>
      <c r="C11" s="12" t="s">
        <v>32</v>
      </c>
      <c r="D11" s="12">
        <v>1</v>
      </c>
      <c r="E11" s="13"/>
    </row>
    <row r="12" spans="1:5">
      <c r="A12" s="8" t="s">
        <v>227</v>
      </c>
      <c r="B12" s="11" t="s">
        <v>116</v>
      </c>
      <c r="C12" s="12" t="s">
        <v>32</v>
      </c>
      <c r="D12" s="12">
        <v>1</v>
      </c>
      <c r="E12" s="13"/>
    </row>
    <row r="13" spans="1:5">
      <c r="A13" s="8" t="s">
        <v>228</v>
      </c>
      <c r="B13" s="11" t="s">
        <v>102</v>
      </c>
      <c r="C13" s="8" t="s">
        <v>37</v>
      </c>
      <c r="D13" s="12">
        <v>1</v>
      </c>
      <c r="E13" s="11" t="s">
        <v>49</v>
      </c>
    </row>
  </sheetData>
  <autoFilter ref="A1:E13" xr:uid="{00000000-0009-0000-0000-000005000000}"/>
  <phoneticPr fontId="11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E5F"/>
  </sheetPr>
  <dimension ref="A1:E11"/>
  <sheetViews>
    <sheetView zoomScaleNormal="100" workbookViewId="0">
      <pane ySplit="1" topLeftCell="A2" activePane="bottomLeft" state="frozen"/>
      <selection pane="bottomLeft" activeCell="E6" sqref="E6"/>
    </sheetView>
  </sheetViews>
  <sheetFormatPr defaultColWidth="8.7109375" defaultRowHeight="15"/>
  <cols>
    <col min="1" max="1" width="14" customWidth="1"/>
    <col min="2" max="2" width="34" customWidth="1"/>
    <col min="3" max="3" width="16" customWidth="1"/>
    <col min="4" max="4" width="14" customWidth="1"/>
    <col min="5" max="5" width="30" customWidth="1"/>
  </cols>
  <sheetData>
    <row r="1" spans="1:5">
      <c r="A1" s="6" t="s">
        <v>26</v>
      </c>
      <c r="B1" s="6" t="s">
        <v>27</v>
      </c>
      <c r="C1" s="6" t="s">
        <v>28</v>
      </c>
      <c r="D1" s="6" t="s">
        <v>29</v>
      </c>
      <c r="E1" s="6" t="s">
        <v>30</v>
      </c>
    </row>
    <row r="2" spans="1:5">
      <c r="A2" s="8" t="s">
        <v>239</v>
      </c>
      <c r="B2" s="11" t="s">
        <v>117</v>
      </c>
      <c r="C2" s="12" t="s">
        <v>32</v>
      </c>
      <c r="D2" s="12">
        <v>1</v>
      </c>
      <c r="E2" s="13"/>
    </row>
    <row r="3" spans="1:5">
      <c r="A3" s="8" t="s">
        <v>240</v>
      </c>
      <c r="B3" s="11" t="s">
        <v>118</v>
      </c>
      <c r="C3" s="8" t="s">
        <v>119</v>
      </c>
      <c r="D3" s="12">
        <v>1</v>
      </c>
      <c r="E3" s="11" t="s">
        <v>120</v>
      </c>
    </row>
    <row r="4" spans="1:5">
      <c r="A4" s="8" t="s">
        <v>241</v>
      </c>
      <c r="B4" s="11" t="s">
        <v>121</v>
      </c>
      <c r="C4" s="8" t="s">
        <v>119</v>
      </c>
      <c r="D4" s="12">
        <v>1</v>
      </c>
      <c r="E4" s="11" t="s">
        <v>122</v>
      </c>
    </row>
    <row r="5" spans="1:5">
      <c r="A5" s="8" t="s">
        <v>242</v>
      </c>
      <c r="B5" s="11" t="s">
        <v>123</v>
      </c>
      <c r="C5" s="8" t="s">
        <v>119</v>
      </c>
      <c r="D5" s="12">
        <v>1</v>
      </c>
      <c r="E5" s="11" t="s">
        <v>120</v>
      </c>
    </row>
    <row r="6" spans="1:5">
      <c r="A6" s="8" t="s">
        <v>243</v>
      </c>
      <c r="B6" s="11" t="s">
        <v>124</v>
      </c>
      <c r="C6" s="12" t="s">
        <v>32</v>
      </c>
      <c r="D6" s="12">
        <v>1</v>
      </c>
      <c r="E6" s="13"/>
    </row>
    <row r="7" spans="1:5">
      <c r="A7" s="8" t="s">
        <v>244</v>
      </c>
      <c r="B7" s="11" t="s">
        <v>125</v>
      </c>
      <c r="C7" s="12" t="s">
        <v>32</v>
      </c>
      <c r="D7" s="12">
        <v>1</v>
      </c>
      <c r="E7" s="13"/>
    </row>
    <row r="8" spans="1:5">
      <c r="A8" s="8" t="s">
        <v>245</v>
      </c>
      <c r="B8" s="11" t="s">
        <v>126</v>
      </c>
      <c r="C8" s="12" t="s">
        <v>32</v>
      </c>
      <c r="D8" s="12">
        <v>1</v>
      </c>
      <c r="E8" s="13"/>
    </row>
    <row r="9" spans="1:5">
      <c r="A9" s="8" t="s">
        <v>246</v>
      </c>
      <c r="B9" s="11" t="s">
        <v>127</v>
      </c>
      <c r="C9" s="12" t="s">
        <v>32</v>
      </c>
      <c r="D9" s="12">
        <v>1</v>
      </c>
      <c r="E9" s="13"/>
    </row>
    <row r="10" spans="1:5">
      <c r="A10" s="8" t="s">
        <v>247</v>
      </c>
      <c r="B10" s="11" t="s">
        <v>128</v>
      </c>
      <c r="C10" s="12" t="s">
        <v>32</v>
      </c>
      <c r="D10" s="12">
        <v>1</v>
      </c>
      <c r="E10" s="11" t="s">
        <v>129</v>
      </c>
    </row>
    <row r="11" spans="1:5">
      <c r="A11" s="8" t="s">
        <v>248</v>
      </c>
      <c r="B11" s="11" t="s">
        <v>130</v>
      </c>
      <c r="C11" s="12" t="s">
        <v>32</v>
      </c>
      <c r="D11" s="12">
        <v>1</v>
      </c>
      <c r="E11" s="13"/>
    </row>
  </sheetData>
  <autoFilter ref="A1:E11" xr:uid="{00000000-0009-0000-0000-000006000000}"/>
  <phoneticPr fontId="11" type="noConversion"/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_사용안내</vt:lpstr>
      <vt:lpstr>주사제팀</vt:lpstr>
      <vt:lpstr>바이오원제팀</vt:lpstr>
      <vt:lpstr>백신HA원제팀</vt:lpstr>
      <vt:lpstr>부스틴팀</vt:lpstr>
      <vt:lpstr>생산지원팀</vt:lpstr>
      <vt:lpstr>공무팀</vt:lpstr>
      <vt:lpstr>환경안전팀</vt:lpstr>
      <vt:lpstr>사무동</vt:lpstr>
      <vt:lpstr>식당동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Euiyeong Hwang</cp:lastModifiedBy>
  <cp:revision>0</cp:revision>
  <dcterms:created xsi:type="dcterms:W3CDTF">2026-06-25T13:50:15Z</dcterms:created>
  <dcterms:modified xsi:type="dcterms:W3CDTF">2026-06-29T08:05:32Z</dcterms:modified>
  <dc:language>en-US</dc:language>
</cp:coreProperties>
</file>